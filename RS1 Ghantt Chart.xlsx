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reese/Downloads/"/>
    </mc:Choice>
  </mc:AlternateContent>
  <xr:revisionPtr revIDLastSave="0" documentId="13_ncr:1_{F0409641-0973-A04B-8A39-3EAAB2F208B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8" i="1"/>
  <c r="F49" i="1"/>
  <c r="F50" i="1"/>
  <c r="F51" i="1"/>
  <c r="F5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7" i="1"/>
  <c r="F28" i="1"/>
  <c r="F29" i="1"/>
  <c r="F30" i="1"/>
  <c r="F31" i="1"/>
  <c r="F26" i="1"/>
  <c r="F16" i="1"/>
  <c r="F24" i="1"/>
  <c r="F21" i="1"/>
  <c r="F22" i="1"/>
  <c r="F25" i="1"/>
  <c r="F20" i="1"/>
  <c r="F19" i="1"/>
  <c r="F18" i="1"/>
  <c r="F17" i="1"/>
  <c r="F15" i="1"/>
  <c r="F14" i="1"/>
  <c r="F13" i="1"/>
  <c r="F23" i="1"/>
  <c r="F12" i="1"/>
</calcChain>
</file>

<file path=xl/sharedStrings.xml><?xml version="1.0" encoding="utf-8"?>
<sst xmlns="http://schemas.openxmlformats.org/spreadsheetml/2006/main" count="175" uniqueCount="76">
  <si>
    <t>NUMBER</t>
  </si>
  <si>
    <t>TASK TITLE</t>
  </si>
  <si>
    <t>TASK OWNER</t>
  </si>
  <si>
    <t>START DATE</t>
  </si>
  <si>
    <t>DUE DATE</t>
  </si>
  <si>
    <t>DURATION</t>
  </si>
  <si>
    <t>PCT OF TASK COMPLETE</t>
  </si>
  <si>
    <t>PHASE 1</t>
  </si>
  <si>
    <t>PHASE 2</t>
  </si>
  <si>
    <t>PHASE 3</t>
  </si>
  <si>
    <t>Stu Vac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</si>
  <si>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</si>
  <si>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</si>
  <si>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</si>
  <si>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</si>
  <si>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</si>
  <si>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</si>
  <si>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</si>
  <si>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</si>
  <si>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</si>
  <si>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</si>
  <si>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</si>
  <si>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</si>
  <si>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</si>
  <si>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</si>
  <si>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</si>
  <si>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</si>
  <si>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</si>
  <si>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Phase 1</t>
  </si>
  <si>
    <t>EVERYONE</t>
  </si>
  <si>
    <t>Mikhail</t>
  </si>
  <si>
    <t>Role Distribution</t>
  </si>
  <si>
    <t>Aldorino</t>
  </si>
  <si>
    <t>Group Contract</t>
  </si>
  <si>
    <t>Maksim</t>
  </si>
  <si>
    <t>Phase 2</t>
  </si>
  <si>
    <t>Team formation</t>
  </si>
  <si>
    <t>Simulation setup</t>
  </si>
  <si>
    <t>Team Members:</t>
  </si>
  <si>
    <t>Nam</t>
  </si>
  <si>
    <t>Project ideation</t>
  </si>
  <si>
    <t>Individual ideation</t>
  </si>
  <si>
    <t>Idea selection</t>
  </si>
  <si>
    <t>Required sensing research</t>
  </si>
  <si>
    <t>Simulation constraints research</t>
  </si>
  <si>
    <t>Similar projects research</t>
  </si>
  <si>
    <t>Off-class meeting agreement</t>
  </si>
  <si>
    <t>C1 Submission</t>
  </si>
  <si>
    <t>Team &amp; Collaboration</t>
  </si>
  <si>
    <t>Project Direction</t>
  </si>
  <si>
    <t>Nam + Mike</t>
  </si>
  <si>
    <t>System Design</t>
  </si>
  <si>
    <t>Planning</t>
  </si>
  <si>
    <t>Communication</t>
  </si>
  <si>
    <t>Generative AI</t>
  </si>
  <si>
    <t>Git, Trello, WA, Drive setup</t>
  </si>
  <si>
    <t>Stakeholder communication</t>
  </si>
  <si>
    <t>Project development</t>
  </si>
  <si>
    <t>Import sensing modules</t>
  </si>
  <si>
    <t>Seed sensor data in simulation</t>
  </si>
  <si>
    <t>Obstacle detection algorithm</t>
  </si>
  <si>
    <t>Forest navigation development</t>
  </si>
  <si>
    <t>Behaviour statuses of system</t>
  </si>
  <si>
    <t>Import of forest models</t>
  </si>
  <si>
    <t>Creation of different worlds</t>
  </si>
  <si>
    <t>Variable environment generation</t>
  </si>
  <si>
    <t>GUI drafting</t>
  </si>
  <si>
    <t>GUI controls programming</t>
  </si>
  <si>
    <t>Populating GUI with map data</t>
  </si>
  <si>
    <t>Status and camera feed in GUI</t>
  </si>
  <si>
    <t>C2 Submission</t>
  </si>
  <si>
    <t>Preparation of slides</t>
  </si>
  <si>
    <t>Stakeholder resentation</t>
  </si>
  <si>
    <t>C3 Submission</t>
  </si>
  <si>
    <t>Preparation of report</t>
  </si>
  <si>
    <t>Libraries for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</si>
</sst>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&quot;/&quot;mm&quot;/&quot;yy"/>
  </numFmts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2D3B45"/>
      <name val="Arial"/>
    </font>
    <font>
      <b/>
      <sz val="8"/>
      <color theme="1"/>
      <name val="Roboto"/>
    </font>
    <font>
      <b/>
      <sz val="8"/>
      <color rgb="FF2D3B45"/>
      <name val="Roboto"/>
    </font>
    <font>
      <b/>
      <sz val="9"/>
      <color rgb="FFFFFFFF"/>
      <name val="Roboto"/>
    </font>
    <font>
      <sz val="10"/>
      <name val="Arial"/>
    </font>
    <font>
      <b/>
      <sz val="9"/>
      <color theme="1"/>
      <name val="Roboto"/>
    </font>
    <font>
      <b/>
      <sz val="11"/>
      <color theme="1"/>
      <name val="Roboto"/>
    </font>
    <font>
      <sz val="10"/>
      <color rgb="FF2D3B45"/>
      <name val="Roboto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2D3B45"/>
      <name val="Arial"/>
      <family val="2"/>
    </font>
    <font>
      <sz val="10"/>
      <color rgb="FF2D3B45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57BB8A"/>
        <bgColor rgb="FF57BB8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2E74B5"/>
        <bgColor rgb="FF2F75B5"/>
      </patternFill>
    </fill>
    <fill>
      <patternFill patternType="solid">
        <fgColor rgb="FF2E74B5"/>
        <bgColor indexed="64"/>
      </patternFill>
    </fill>
    <fill>
      <patternFill patternType="solid">
        <fgColor rgb="FF2E74B5"/>
        <bgColor rgb="FFA2C4C9"/>
      </patternFill>
    </fill>
    <fill>
      <patternFill patternType="solid">
        <fgColor rgb="FFF9CCAD"/>
        <bgColor rgb="FFD0E0E3"/>
      </patternFill>
    </fill>
    <fill>
      <patternFill patternType="solid">
        <fgColor rgb="FF833C0B"/>
        <bgColor rgb="FF45818E"/>
      </patternFill>
    </fill>
    <fill>
      <patternFill patternType="solid">
        <fgColor rgb="FF833C0B"/>
        <bgColor indexed="64"/>
      </patternFill>
    </fill>
    <fill>
      <patternFill patternType="solid">
        <fgColor rgb="FFC75811"/>
        <bgColor rgb="FFA2C4C9"/>
      </patternFill>
    </fill>
    <fill>
      <patternFill patternType="solid">
        <fgColor rgb="FFC75811"/>
        <bgColor indexed="64"/>
      </patternFill>
    </fill>
    <fill>
      <patternFill patternType="solid">
        <fgColor rgb="FFBDD7EF"/>
        <bgColor rgb="FFD0E0E3"/>
      </patternFill>
    </fill>
    <fill>
      <patternFill patternType="solid">
        <fgColor rgb="FFDEEBF8"/>
        <bgColor rgb="FFEDEDED"/>
      </patternFill>
    </fill>
    <fill>
      <patternFill patternType="solid">
        <fgColor rgb="FFDEEBF8"/>
        <bgColor indexed="64"/>
      </patternFill>
    </fill>
    <fill>
      <patternFill patternType="solid">
        <fgColor rgb="FF2E74B5"/>
        <bgColor rgb="FFDDEBF7"/>
      </patternFill>
    </fill>
    <fill>
      <patternFill patternType="solid">
        <fgColor rgb="FF2E74B5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2E74B5"/>
        <bgColor rgb="FF7F6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57BB8A"/>
      </patternFill>
    </fill>
    <fill>
      <patternFill patternType="solid">
        <fgColor theme="2" tint="-0.14999847407452621"/>
        <bgColor rgb="FFDDEBF7"/>
      </patternFill>
    </fill>
    <fill>
      <patternFill patternType="solid">
        <fgColor theme="2" tint="-0.14999847407452621"/>
        <bgColor rgb="FFEDEDED"/>
      </patternFill>
    </fill>
    <fill>
      <patternFill patternType="solid">
        <fgColor theme="2" tint="-0.14999847407452621"/>
        <bgColor rgb="FFFCE4D6"/>
      </patternFill>
    </fill>
    <fill>
      <patternFill patternType="solid">
        <fgColor theme="2" tint="-0.14999847407452621"/>
        <bgColor rgb="FFFFF2CC"/>
      </patternFill>
    </fill>
    <fill>
      <patternFill patternType="solid">
        <fgColor theme="0" tint="-0.34998626667073579"/>
        <bgColor rgb="FFCCCC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56BC8A"/>
        <bgColor rgb="FFFFFF00"/>
      </patternFill>
    </fill>
    <fill>
      <patternFill patternType="solid">
        <fgColor rgb="FFFDE5D7"/>
        <bgColor indexed="64"/>
      </patternFill>
    </fill>
    <fill>
      <patternFill patternType="solid">
        <fgColor rgb="FF0C5394"/>
        <bgColor rgb="FF0B5394"/>
      </patternFill>
    </fill>
    <fill>
      <patternFill patternType="solid">
        <fgColor theme="2" tint="-0.14999847407452621"/>
        <bgColor rgb="FFFFFF00"/>
      </patternFill>
    </fill>
    <fill>
      <patternFill patternType="solid">
        <fgColor rgb="FFC75811"/>
        <bgColor rgb="FF000000"/>
      </patternFill>
    </fill>
  </fills>
  <borders count="26"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  <border>
      <left/>
      <right style="hair">
        <color rgb="FFB7B7B7"/>
      </right>
      <top/>
      <bottom/>
      <diagonal/>
    </border>
    <border>
      <left style="hair">
        <color rgb="FFB7B7B7"/>
      </left>
      <right/>
      <top style="hair">
        <color rgb="FFB7B7B7"/>
      </top>
      <bottom/>
      <diagonal/>
    </border>
    <border>
      <left/>
      <right/>
      <top style="hair">
        <color rgb="FFB7B7B7"/>
      </top>
      <bottom/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hair">
        <color rgb="FFB7B7B7"/>
      </bottom>
      <diagonal/>
    </border>
    <border>
      <left/>
      <right/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6" borderId="0" xfId="0" applyFont="1" applyFill="1"/>
    <xf numFmtId="0" fontId="7" fillId="7" borderId="9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1" fillId="9" borderId="0" xfId="0" applyFont="1" applyFill="1"/>
    <xf numFmtId="0" fontId="1" fillId="0" borderId="7" xfId="0" applyFont="1" applyBorder="1"/>
    <xf numFmtId="0" fontId="2" fillId="0" borderId="7" xfId="0" applyFont="1" applyBorder="1"/>
    <xf numFmtId="165" fontId="9" fillId="0" borderId="7" xfId="0" applyNumberFormat="1" applyFont="1" applyBorder="1" applyAlignment="1">
      <alignment horizontal="right" wrapText="1"/>
    </xf>
    <xf numFmtId="0" fontId="9" fillId="0" borderId="7" xfId="0" applyFont="1" applyBorder="1" applyAlignment="1">
      <alignment horizontal="center" wrapText="1"/>
    </xf>
    <xf numFmtId="9" fontId="9" fillId="10" borderId="7" xfId="0" applyNumberFormat="1" applyFont="1" applyFill="1" applyBorder="1" applyAlignment="1">
      <alignment horizontal="center" wrapText="1"/>
    </xf>
    <xf numFmtId="0" fontId="1" fillId="4" borderId="0" xfId="0" applyFont="1" applyFill="1"/>
    <xf numFmtId="0" fontId="1" fillId="11" borderId="11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12" borderId="12" xfId="0" applyFont="1" applyFill="1" applyBorder="1"/>
    <xf numFmtId="9" fontId="1" fillId="0" borderId="16" xfId="0" applyNumberFormat="1" applyFont="1" applyBorder="1"/>
    <xf numFmtId="9" fontId="1" fillId="0" borderId="0" xfId="0" applyNumberFormat="1" applyFont="1"/>
    <xf numFmtId="0" fontId="1" fillId="0" borderId="7" xfId="0" applyFont="1" applyBorder="1" applyAlignment="1">
      <alignment wrapText="1"/>
    </xf>
    <xf numFmtId="0" fontId="1" fillId="13" borderId="0" xfId="0" applyFont="1" applyFill="1"/>
    <xf numFmtId="0" fontId="2" fillId="13" borderId="7" xfId="0" applyFont="1" applyFill="1" applyBorder="1"/>
    <xf numFmtId="165" fontId="9" fillId="13" borderId="7" xfId="0" applyNumberFormat="1" applyFont="1" applyFill="1" applyBorder="1" applyAlignment="1">
      <alignment horizontal="right" wrapText="1"/>
    </xf>
    <xf numFmtId="0" fontId="9" fillId="13" borderId="7" xfId="0" applyFont="1" applyFill="1" applyBorder="1" applyAlignment="1">
      <alignment horizontal="center" wrapText="1"/>
    </xf>
    <xf numFmtId="9" fontId="9" fillId="13" borderId="7" xfId="0" applyNumberFormat="1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/>
    <xf numFmtId="0" fontId="4" fillId="2" borderId="0" xfId="0" applyFont="1" applyFill="1" applyAlignment="1">
      <alignment horizontal="center" wrapText="1"/>
    </xf>
    <xf numFmtId="0" fontId="6" fillId="0" borderId="4" xfId="0" applyFont="1" applyBorder="1"/>
    <xf numFmtId="0" fontId="6" fillId="0" borderId="5" xfId="0" applyFont="1" applyBorder="1"/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5" fillId="3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0" fillId="0" borderId="0" xfId="0" applyAlignment="1"/>
    <xf numFmtId="0" fontId="5" fillId="14" borderId="3" xfId="0" applyFont="1" applyFill="1" applyBorder="1" applyAlignment="1">
      <alignment horizontal="center"/>
    </xf>
    <xf numFmtId="0" fontId="6" fillId="15" borderId="4" xfId="0" applyFont="1" applyFill="1" applyBorder="1"/>
    <xf numFmtId="0" fontId="6" fillId="15" borderId="5" xfId="0" applyFont="1" applyFill="1" applyBorder="1"/>
    <xf numFmtId="0" fontId="5" fillId="16" borderId="3" xfId="0" applyFont="1" applyFill="1" applyBorder="1" applyAlignment="1">
      <alignment horizontal="center"/>
    </xf>
    <xf numFmtId="0" fontId="7" fillId="17" borderId="9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0" fillId="19" borderId="0" xfId="0" applyFill="1"/>
    <xf numFmtId="0" fontId="5" fillId="20" borderId="3" xfId="0" applyFont="1" applyFill="1" applyBorder="1" applyAlignment="1">
      <alignment horizontal="center"/>
    </xf>
    <xf numFmtId="0" fontId="6" fillId="21" borderId="4" xfId="0" applyFont="1" applyFill="1" applyBorder="1"/>
    <xf numFmtId="0" fontId="6" fillId="21" borderId="5" xfId="0" applyFont="1" applyFill="1" applyBorder="1"/>
    <xf numFmtId="0" fontId="7" fillId="22" borderId="9" xfId="0" applyFont="1" applyFill="1" applyBorder="1" applyAlignment="1">
      <alignment horizontal="center"/>
    </xf>
    <xf numFmtId="0" fontId="10" fillId="0" borderId="0" xfId="0" applyFont="1"/>
    <xf numFmtId="0" fontId="12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3" fillId="0" borderId="7" xfId="0" applyFont="1" applyBorder="1"/>
    <xf numFmtId="0" fontId="1" fillId="0" borderId="0" xfId="0" applyFont="1" applyFill="1"/>
    <xf numFmtId="0" fontId="2" fillId="0" borderId="0" xfId="0" applyFont="1" applyFill="1"/>
    <xf numFmtId="0" fontId="13" fillId="0" borderId="0" xfId="0" applyFont="1" applyFill="1"/>
    <xf numFmtId="0" fontId="13" fillId="0" borderId="0" xfId="0" applyFont="1"/>
    <xf numFmtId="0" fontId="10" fillId="0" borderId="0" xfId="0" applyFont="1" applyAlignment="1">
      <alignment wrapText="1"/>
    </xf>
    <xf numFmtId="0" fontId="10" fillId="0" borderId="0" xfId="0" applyFont="1" applyBorder="1" applyAlignment="1">
      <alignment wrapText="1"/>
    </xf>
    <xf numFmtId="0" fontId="10" fillId="13" borderId="0" xfId="0" applyFont="1" applyFill="1" applyAlignment="1">
      <alignment wrapText="1"/>
    </xf>
    <xf numFmtId="0" fontId="1" fillId="0" borderId="0" xfId="0" applyFont="1" applyBorder="1"/>
    <xf numFmtId="0" fontId="10" fillId="0" borderId="0" xfId="0" applyFont="1" applyFill="1" applyAlignment="1">
      <alignment wrapText="1"/>
    </xf>
    <xf numFmtId="165" fontId="9" fillId="0" borderId="0" xfId="0" applyNumberFormat="1" applyFont="1" applyFill="1" applyBorder="1" applyAlignment="1">
      <alignment horizontal="right" wrapText="1"/>
    </xf>
    <xf numFmtId="0" fontId="9" fillId="0" borderId="0" xfId="0" applyFont="1" applyFill="1" applyBorder="1" applyAlignment="1">
      <alignment horizontal="center" wrapText="1"/>
    </xf>
    <xf numFmtId="9" fontId="1" fillId="0" borderId="0" xfId="0" applyNumberFormat="1" applyFont="1" applyFill="1"/>
    <xf numFmtId="0" fontId="13" fillId="0" borderId="0" xfId="0" applyFont="1" applyFill="1" applyBorder="1"/>
    <xf numFmtId="0" fontId="0" fillId="0" borderId="0" xfId="0" applyFill="1"/>
    <xf numFmtId="9" fontId="1" fillId="0" borderId="0" xfId="0" applyNumberFormat="1" applyFont="1" applyBorder="1"/>
    <xf numFmtId="0" fontId="1" fillId="23" borderId="11" xfId="0" applyFont="1" applyFill="1" applyBorder="1"/>
    <xf numFmtId="0" fontId="1" fillId="23" borderId="12" xfId="0" applyFont="1" applyFill="1" applyBorder="1"/>
    <xf numFmtId="0" fontId="1" fillId="24" borderId="0" xfId="0" applyFont="1" applyFill="1"/>
    <xf numFmtId="0" fontId="1" fillId="25" borderId="0" xfId="0" applyFont="1" applyFill="1" applyBorder="1"/>
    <xf numFmtId="0" fontId="1" fillId="26" borderId="0" xfId="0" applyFont="1" applyFill="1" applyBorder="1"/>
    <xf numFmtId="9" fontId="1" fillId="15" borderId="0" xfId="0" applyNumberFormat="1" applyFont="1" applyFill="1"/>
    <xf numFmtId="9" fontId="1" fillId="15" borderId="0" xfId="0" applyNumberFormat="1" applyFont="1" applyFill="1" applyAlignment="1">
      <alignment horizontal="center"/>
    </xf>
    <xf numFmtId="9" fontId="1" fillId="15" borderId="18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26" borderId="22" xfId="0" applyFont="1" applyFill="1" applyBorder="1" applyAlignment="1">
      <alignment horizontal="center"/>
    </xf>
    <xf numFmtId="0" fontId="1" fillId="26" borderId="23" xfId="0" applyFont="1" applyFill="1" applyBorder="1" applyAlignment="1">
      <alignment horizontal="center"/>
    </xf>
    <xf numFmtId="0" fontId="0" fillId="27" borderId="0" xfId="0" applyFill="1"/>
    <xf numFmtId="0" fontId="1" fillId="27" borderId="0" xfId="0" applyFont="1" applyFill="1"/>
    <xf numFmtId="0" fontId="9" fillId="27" borderId="0" xfId="0" applyFont="1" applyFill="1" applyBorder="1" applyAlignment="1">
      <alignment horizontal="center" wrapText="1"/>
    </xf>
    <xf numFmtId="9" fontId="1" fillId="27" borderId="0" xfId="0" applyNumberFormat="1" applyFont="1" applyFill="1"/>
    <xf numFmtId="0" fontId="1" fillId="15" borderId="0" xfId="0" applyFont="1" applyFill="1"/>
    <xf numFmtId="0" fontId="1" fillId="28" borderId="0" xfId="0" applyFont="1" applyFill="1"/>
    <xf numFmtId="0" fontId="1" fillId="29" borderId="7" xfId="0" applyFont="1" applyFill="1" applyBorder="1"/>
    <xf numFmtId="0" fontId="12" fillId="29" borderId="0" xfId="0" applyFont="1" applyFill="1" applyAlignment="1">
      <alignment wrapText="1"/>
    </xf>
    <xf numFmtId="0" fontId="2" fillId="29" borderId="7" xfId="0" applyFont="1" applyFill="1" applyBorder="1"/>
    <xf numFmtId="165" fontId="9" fillId="29" borderId="7" xfId="0" applyNumberFormat="1" applyFont="1" applyFill="1" applyBorder="1" applyAlignment="1">
      <alignment horizontal="right" wrapText="1"/>
    </xf>
    <xf numFmtId="0" fontId="9" fillId="29" borderId="7" xfId="0" applyFont="1" applyFill="1" applyBorder="1" applyAlignment="1">
      <alignment horizontal="center" wrapText="1"/>
    </xf>
    <xf numFmtId="9" fontId="9" fillId="30" borderId="7" xfId="0" applyNumberFormat="1" applyFont="1" applyFill="1" applyBorder="1" applyAlignment="1">
      <alignment horizontal="center" wrapText="1"/>
    </xf>
    <xf numFmtId="9" fontId="1" fillId="29" borderId="16" xfId="0" applyNumberFormat="1" applyFont="1" applyFill="1" applyBorder="1"/>
    <xf numFmtId="0" fontId="1" fillId="29" borderId="0" xfId="0" applyFont="1" applyFill="1"/>
    <xf numFmtId="0" fontId="0" fillId="29" borderId="0" xfId="0" applyFill="1"/>
    <xf numFmtId="0" fontId="1" fillId="31" borderId="11" xfId="0" applyFont="1" applyFill="1" applyBorder="1"/>
    <xf numFmtId="0" fontId="1" fillId="29" borderId="12" xfId="0" applyFont="1" applyFill="1" applyBorder="1"/>
    <xf numFmtId="0" fontId="1" fillId="32" borderId="11" xfId="0" applyFont="1" applyFill="1" applyBorder="1"/>
    <xf numFmtId="0" fontId="1" fillId="29" borderId="11" xfId="0" applyFont="1" applyFill="1" applyBorder="1"/>
    <xf numFmtId="0" fontId="1" fillId="33" borderId="11" xfId="0" applyFont="1" applyFill="1" applyBorder="1"/>
    <xf numFmtId="0" fontId="1" fillId="34" borderId="11" xfId="0" applyFont="1" applyFill="1" applyBorder="1"/>
    <xf numFmtId="0" fontId="1" fillId="29" borderId="13" xfId="0" applyFont="1" applyFill="1" applyBorder="1"/>
    <xf numFmtId="9" fontId="1" fillId="29" borderId="0" xfId="0" applyNumberFormat="1" applyFont="1" applyFill="1"/>
    <xf numFmtId="0" fontId="1" fillId="32" borderId="12" xfId="0" applyFont="1" applyFill="1" applyBorder="1"/>
    <xf numFmtId="0" fontId="1" fillId="33" borderId="12" xfId="0" applyFont="1" applyFill="1" applyBorder="1"/>
    <xf numFmtId="0" fontId="1" fillId="34" borderId="12" xfId="0" applyFont="1" applyFill="1" applyBorder="1"/>
    <xf numFmtId="0" fontId="1" fillId="29" borderId="15" xfId="0" applyFont="1" applyFill="1" applyBorder="1"/>
    <xf numFmtId="0" fontId="8" fillId="35" borderId="10" xfId="0" applyFont="1" applyFill="1" applyBorder="1" applyAlignment="1">
      <alignment horizontal="right" wrapText="1"/>
    </xf>
    <xf numFmtId="0" fontId="8" fillId="35" borderId="10" xfId="0" applyFont="1" applyFill="1" applyBorder="1"/>
    <xf numFmtId="0" fontId="2" fillId="35" borderId="10" xfId="0" applyFont="1" applyFill="1" applyBorder="1"/>
    <xf numFmtId="0" fontId="1" fillId="35" borderId="0" xfId="0" applyFont="1" applyFill="1"/>
    <xf numFmtId="164" fontId="1" fillId="35" borderId="0" xfId="0" applyNumberFormat="1" applyFont="1" applyFill="1"/>
    <xf numFmtId="3" fontId="1" fillId="35" borderId="0" xfId="0" applyNumberFormat="1" applyFont="1" applyFill="1"/>
    <xf numFmtId="0" fontId="0" fillId="36" borderId="0" xfId="0" applyFill="1"/>
    <xf numFmtId="0" fontId="1" fillId="37" borderId="12" xfId="0" applyFont="1" applyFill="1" applyBorder="1"/>
    <xf numFmtId="0" fontId="1" fillId="38" borderId="0" xfId="0" applyFont="1" applyFill="1"/>
    <xf numFmtId="9" fontId="9" fillId="39" borderId="7" xfId="0" applyNumberFormat="1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wrapText="1"/>
    </xf>
    <xf numFmtId="0" fontId="1" fillId="0" borderId="12" xfId="0" applyFont="1" applyFill="1" applyBorder="1"/>
    <xf numFmtId="0" fontId="1" fillId="0" borderId="20" xfId="0" applyFont="1" applyFill="1" applyBorder="1" applyAlignment="1"/>
    <xf numFmtId="0" fontId="1" fillId="0" borderId="0" xfId="0" applyFont="1" applyFill="1" applyAlignment="1"/>
    <xf numFmtId="0" fontId="1" fillId="0" borderId="24" xfId="0" applyFont="1" applyFill="1" applyBorder="1" applyAlignment="1"/>
    <xf numFmtId="0" fontId="1" fillId="0" borderId="0" xfId="0" applyFont="1" applyFill="1" applyBorder="1"/>
    <xf numFmtId="0" fontId="1" fillId="40" borderId="12" xfId="0" applyFont="1" applyFill="1" applyBorder="1"/>
    <xf numFmtId="0" fontId="5" fillId="41" borderId="6" xfId="0" applyFont="1" applyFill="1" applyBorder="1" applyAlignment="1">
      <alignment horizontal="center"/>
    </xf>
    <xf numFmtId="0" fontId="5" fillId="41" borderId="7" xfId="0" applyFont="1" applyFill="1" applyBorder="1" applyAlignment="1">
      <alignment horizontal="center"/>
    </xf>
    <xf numFmtId="0" fontId="1" fillId="0" borderId="7" xfId="0" applyFont="1" applyFill="1" applyBorder="1"/>
    <xf numFmtId="0" fontId="2" fillId="0" borderId="7" xfId="0" applyFont="1" applyFill="1" applyBorder="1"/>
    <xf numFmtId="165" fontId="9" fillId="0" borderId="7" xfId="0" applyNumberFormat="1" applyFont="1" applyFill="1" applyBorder="1" applyAlignment="1">
      <alignment horizontal="right" wrapText="1"/>
    </xf>
    <xf numFmtId="9" fontId="9" fillId="0" borderId="7" xfId="0" applyNumberFormat="1" applyFont="1" applyFill="1" applyBorder="1" applyAlignment="1">
      <alignment horizontal="center" wrapText="1"/>
    </xf>
    <xf numFmtId="9" fontId="1" fillId="0" borderId="16" xfId="0" applyNumberFormat="1" applyFont="1" applyFill="1" applyBorder="1"/>
    <xf numFmtId="164" fontId="1" fillId="0" borderId="11" xfId="0" applyNumberFormat="1" applyFont="1" applyFill="1" applyBorder="1"/>
    <xf numFmtId="0" fontId="1" fillId="0" borderId="11" xfId="0" applyFont="1" applyFill="1" applyBorder="1"/>
    <xf numFmtId="0" fontId="1" fillId="0" borderId="13" xfId="0" applyFont="1" applyFill="1" applyBorder="1"/>
    <xf numFmtId="9" fontId="1" fillId="0" borderId="14" xfId="0" applyNumberFormat="1" applyFont="1" applyFill="1" applyBorder="1"/>
    <xf numFmtId="164" fontId="1" fillId="0" borderId="12" xfId="0" applyNumberFormat="1" applyFont="1" applyFill="1" applyBorder="1"/>
    <xf numFmtId="0" fontId="1" fillId="0" borderId="15" xfId="0" applyFont="1" applyFill="1" applyBorder="1"/>
    <xf numFmtId="0" fontId="1" fillId="0" borderId="7" xfId="0" applyFont="1" applyFill="1" applyBorder="1" applyAlignment="1">
      <alignment wrapText="1"/>
    </xf>
    <xf numFmtId="164" fontId="1" fillId="0" borderId="0" xfId="0" applyNumberFormat="1" applyFont="1" applyFill="1"/>
    <xf numFmtId="0" fontId="8" fillId="0" borderId="10" xfId="0" applyFont="1" applyFill="1" applyBorder="1" applyAlignment="1">
      <alignment horizontal="right" wrapText="1"/>
    </xf>
    <xf numFmtId="0" fontId="8" fillId="0" borderId="10" xfId="0" applyFont="1" applyFill="1" applyBorder="1"/>
    <xf numFmtId="0" fontId="2" fillId="0" borderId="10" xfId="0" applyFont="1" applyFill="1" applyBorder="1"/>
    <xf numFmtId="3" fontId="1" fillId="0" borderId="0" xfId="0" applyNumberFormat="1" applyFont="1" applyFill="1"/>
    <xf numFmtId="0" fontId="1" fillId="24" borderId="12" xfId="0" applyFont="1" applyFill="1" applyBorder="1"/>
    <xf numFmtId="0" fontId="1" fillId="24" borderId="11" xfId="0" applyFont="1" applyFill="1" applyBorder="1"/>
    <xf numFmtId="0" fontId="12" fillId="0" borderId="7" xfId="0" applyFont="1" applyFill="1" applyBorder="1"/>
    <xf numFmtId="0" fontId="14" fillId="0" borderId="7" xfId="0" applyFont="1" applyFill="1" applyBorder="1"/>
    <xf numFmtId="165" fontId="14" fillId="0" borderId="7" xfId="0" applyNumberFormat="1" applyFont="1" applyFill="1" applyBorder="1" applyAlignment="1">
      <alignment horizontal="right" wrapText="1"/>
    </xf>
    <xf numFmtId="0" fontId="14" fillId="0" borderId="7" xfId="0" applyFont="1" applyFill="1" applyBorder="1" applyAlignment="1">
      <alignment horizontal="center" wrapText="1"/>
    </xf>
    <xf numFmtId="9" fontId="14" fillId="0" borderId="7" xfId="0" applyNumberFormat="1" applyFont="1" applyFill="1" applyBorder="1" applyAlignment="1">
      <alignment horizontal="center" wrapText="1"/>
    </xf>
    <xf numFmtId="0" fontId="14" fillId="0" borderId="17" xfId="0" applyFont="1" applyFill="1" applyBorder="1"/>
    <xf numFmtId="0" fontId="12" fillId="0" borderId="0" xfId="0" applyFont="1" applyFill="1"/>
    <xf numFmtId="0" fontId="14" fillId="0" borderId="10" xfId="0" applyFont="1" applyFill="1" applyBorder="1"/>
    <xf numFmtId="0" fontId="12" fillId="0" borderId="7" xfId="0" applyFont="1" applyFill="1" applyBorder="1" applyAlignment="1">
      <alignment wrapText="1"/>
    </xf>
    <xf numFmtId="0" fontId="15" fillId="0" borderId="10" xfId="0" applyFont="1" applyFill="1" applyBorder="1" applyAlignment="1">
      <alignment horizontal="right" wrapText="1"/>
    </xf>
    <xf numFmtId="0" fontId="15" fillId="0" borderId="10" xfId="0" applyFont="1" applyFill="1" applyBorder="1"/>
    <xf numFmtId="0" fontId="12" fillId="0" borderId="10" xfId="0" applyFont="1" applyFill="1" applyBorder="1" applyAlignment="1">
      <alignment horizontal="right" wrapText="1"/>
    </xf>
    <xf numFmtId="0" fontId="12" fillId="0" borderId="10" xfId="0" applyFont="1" applyFill="1" applyBorder="1"/>
    <xf numFmtId="2" fontId="1" fillId="0" borderId="0" xfId="0" applyNumberFormat="1" applyFont="1" applyFill="1"/>
    <xf numFmtId="0" fontId="12" fillId="27" borderId="7" xfId="0" applyFont="1" applyFill="1" applyBorder="1"/>
    <xf numFmtId="0" fontId="14" fillId="27" borderId="7" xfId="0" applyFont="1" applyFill="1" applyBorder="1"/>
    <xf numFmtId="165" fontId="14" fillId="27" borderId="7" xfId="0" applyNumberFormat="1" applyFont="1" applyFill="1" applyBorder="1" applyAlignment="1">
      <alignment horizontal="right" wrapText="1"/>
    </xf>
    <xf numFmtId="9" fontId="1" fillId="27" borderId="16" xfId="0" applyNumberFormat="1" applyFont="1" applyFill="1" applyBorder="1"/>
    <xf numFmtId="164" fontId="1" fillId="27" borderId="11" xfId="0" applyNumberFormat="1" applyFont="1" applyFill="1" applyBorder="1"/>
    <xf numFmtId="0" fontId="1" fillId="27" borderId="11" xfId="0" applyFont="1" applyFill="1" applyBorder="1"/>
    <xf numFmtId="0" fontId="1" fillId="27" borderId="12" xfId="0" applyFont="1" applyFill="1" applyBorder="1"/>
    <xf numFmtId="0" fontId="1" fillId="38" borderId="12" xfId="0" applyFont="1" applyFill="1" applyBorder="1"/>
    <xf numFmtId="9" fontId="1" fillId="27" borderId="14" xfId="0" applyNumberFormat="1" applyFont="1" applyFill="1" applyBorder="1"/>
    <xf numFmtId="164" fontId="1" fillId="27" borderId="12" xfId="0" applyNumberFormat="1" applyFont="1" applyFill="1" applyBorder="1"/>
    <xf numFmtId="0" fontId="10" fillId="29" borderId="0" xfId="0" applyFont="1" applyFill="1" applyAlignment="1">
      <alignment wrapText="1"/>
    </xf>
    <xf numFmtId="0" fontId="13" fillId="29" borderId="0" xfId="0" applyFont="1" applyFill="1" applyBorder="1"/>
    <xf numFmtId="165" fontId="9" fillId="29" borderId="0" xfId="0" applyNumberFormat="1" applyFont="1" applyFill="1" applyBorder="1" applyAlignment="1">
      <alignment horizontal="right" wrapText="1"/>
    </xf>
    <xf numFmtId="9" fontId="9" fillId="42" borderId="7" xfId="0" applyNumberFormat="1" applyFont="1" applyFill="1" applyBorder="1" applyAlignment="1">
      <alignment horizontal="center" wrapText="1"/>
    </xf>
    <xf numFmtId="164" fontId="1" fillId="29" borderId="11" xfId="0" applyNumberFormat="1" applyFont="1" applyFill="1" applyBorder="1"/>
    <xf numFmtId="0" fontId="1" fillId="21" borderId="0" xfId="0" applyFont="1" applyFill="1"/>
    <xf numFmtId="0" fontId="1" fillId="21" borderId="12" xfId="0" applyFont="1" applyFill="1" applyBorder="1"/>
    <xf numFmtId="0" fontId="1" fillId="21" borderId="19" xfId="0" applyFont="1" applyFill="1" applyBorder="1" applyAlignment="1">
      <alignment horizontal="center"/>
    </xf>
    <xf numFmtId="0" fontId="1" fillId="21" borderId="20" xfId="0" applyFont="1" applyFill="1" applyBorder="1" applyAlignment="1">
      <alignment horizontal="center"/>
    </xf>
    <xf numFmtId="0" fontId="1" fillId="21" borderId="21" xfId="0" applyFont="1" applyFill="1" applyBorder="1" applyAlignment="1">
      <alignment horizontal="center"/>
    </xf>
    <xf numFmtId="0" fontId="16" fillId="43" borderId="22" xfId="0" applyFont="1" applyFill="1" applyBorder="1" applyAlignment="1">
      <alignment horizontal="center"/>
    </xf>
    <xf numFmtId="0" fontId="16" fillId="43" borderId="25" xfId="0" applyFont="1" applyFill="1" applyBorder="1" applyAlignment="1">
      <alignment horizontal="center"/>
    </xf>
    <xf numFmtId="0" fontId="16" fillId="43" borderId="23" xfId="0" applyFont="1" applyFill="1" applyBorder="1" applyAlignment="1">
      <alignment horizontal="center"/>
    </xf>
    <xf numFmtId="0" fontId="1" fillId="21" borderId="22" xfId="0" applyFont="1" applyFill="1" applyBorder="1" applyAlignment="1">
      <alignment horizontal="center"/>
    </xf>
    <xf numFmtId="0" fontId="1" fillId="21" borderId="25" xfId="0" applyFont="1" applyFill="1" applyBorder="1" applyAlignment="1">
      <alignment horizontal="center"/>
    </xf>
    <xf numFmtId="0" fontId="1" fillId="21" borderId="23" xfId="0" applyFont="1" applyFill="1" applyBorder="1" applyAlignment="1">
      <alignment horizontal="center"/>
    </xf>
    <xf numFmtId="0" fontId="1" fillId="21" borderId="20" xfId="0" applyFont="1" applyFill="1" applyBorder="1" applyAlignment="1"/>
    <xf numFmtId="0" fontId="1" fillId="0" borderId="19" xfId="0" applyFont="1" applyFill="1" applyBorder="1" applyAlignment="1"/>
    <xf numFmtId="0" fontId="1" fillId="0" borderId="21" xfId="0" applyFont="1" applyFill="1" applyBorder="1" applyAlignment="1"/>
    <xf numFmtId="0" fontId="12" fillId="0" borderId="0" xfId="0" applyFont="1" applyFill="1" applyAlignment="1">
      <alignment wrapText="1"/>
    </xf>
    <xf numFmtId="0" fontId="12" fillId="0" borderId="0" xfId="0" applyNumberFormat="1" applyFont="1" applyFill="1"/>
    <xf numFmtId="2" fontId="12" fillId="0" borderId="0" xfId="0" applyNumberFormat="1" applyFont="1" applyFill="1"/>
    <xf numFmtId="0" fontId="12" fillId="0" borderId="17" xfId="0" applyFont="1" applyFill="1" applyBorder="1"/>
    <xf numFmtId="0" fontId="12" fillId="0" borderId="1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5811"/>
      <color rgb="FFDEEBF8"/>
      <color rgb="FF0C5394"/>
      <color rgb="FF2E74B5"/>
      <color rgb="FFFDE5D7"/>
      <color rgb="FFF9CCAD"/>
      <color rgb="FF56BC8A"/>
      <color rgb="FFBDD7EF"/>
      <color rgb="FFCCCCCC"/>
      <color rgb="FF833C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G980"/>
  <sheetViews>
    <sheetView tabSelected="1" topLeftCell="A26" zoomScale="150" zoomScaleNormal="137" workbookViewId="0">
      <selection activeCell="C38" sqref="C38"/>
    </sheetView>
  </sheetViews>
  <sheetFormatPr baseColWidth="10" defaultColWidth="12.6640625" defaultRowHeight="15.75" customHeight="1" x14ac:dyDescent="0.15"/>
  <cols>
    <col min="2" max="2" width="25.6640625" customWidth="1"/>
    <col min="3" max="3" width="10.1640625" customWidth="1"/>
    <col min="4" max="4" width="8.6640625" customWidth="1"/>
    <col min="5" max="5" width="9.1640625" customWidth="1"/>
    <col min="6" max="6" width="7.5" customWidth="1"/>
    <col min="7" max="7" width="9.1640625" customWidth="1"/>
    <col min="8" max="85" width="1.33203125" customWidth="1"/>
  </cols>
  <sheetData>
    <row r="1" spans="1:85" ht="15.75" customHeight="1" x14ac:dyDescent="0.15">
      <c r="A1" s="1"/>
      <c r="B1" s="57"/>
      <c r="C1" s="58"/>
      <c r="D1" s="58"/>
      <c r="E1" s="58"/>
      <c r="F1" s="58"/>
      <c r="G1" s="58"/>
      <c r="H1" s="57"/>
      <c r="I1" s="57"/>
      <c r="J1" s="57"/>
      <c r="K1" s="57"/>
      <c r="L1" s="5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15.75" customHeight="1" x14ac:dyDescent="0.15">
      <c r="A2" s="1"/>
      <c r="B2" s="57"/>
      <c r="C2" s="58"/>
      <c r="D2" s="58"/>
      <c r="E2" s="58"/>
      <c r="F2" s="58"/>
      <c r="G2" s="58"/>
      <c r="H2" s="57"/>
      <c r="I2" s="57"/>
      <c r="J2" s="57"/>
      <c r="K2" s="57"/>
      <c r="L2" s="5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ht="15.75" customHeight="1" x14ac:dyDescent="0.15">
      <c r="A3" s="1"/>
      <c r="B3" s="53" t="s">
        <v>38</v>
      </c>
      <c r="C3" s="59" t="s">
        <v>34</v>
      </c>
      <c r="D3" s="58"/>
      <c r="E3" s="58"/>
      <c r="F3" s="58"/>
      <c r="G3" s="58"/>
      <c r="H3" s="57"/>
      <c r="I3" s="57"/>
      <c r="J3" s="57"/>
      <c r="K3" s="57"/>
      <c r="L3" s="5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ht="15.75" customHeight="1" x14ac:dyDescent="0.15">
      <c r="A4" s="1"/>
      <c r="B4" s="57"/>
      <c r="C4" s="59" t="s">
        <v>30</v>
      </c>
      <c r="D4" s="58"/>
      <c r="E4" s="58"/>
      <c r="F4" s="58"/>
      <c r="G4" s="58"/>
      <c r="H4" s="57"/>
      <c r="I4" s="57"/>
      <c r="J4" s="57"/>
      <c r="K4" s="57"/>
      <c r="L4" s="5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ht="15.75" customHeight="1" x14ac:dyDescent="0.15">
      <c r="A5" s="1"/>
      <c r="B5" s="1"/>
      <c r="C5" s="60" t="s">
        <v>39</v>
      </c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ht="15.75" customHeight="1" x14ac:dyDescent="0.15">
      <c r="B6" s="1"/>
      <c r="C6" s="60" t="s">
        <v>32</v>
      </c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57"/>
      <c r="BB6" s="41"/>
      <c r="BC6" s="41"/>
      <c r="BD6" s="41"/>
      <c r="BE6" s="41"/>
      <c r="BF6" s="41"/>
      <c r="BG6" s="41"/>
      <c r="BH6" s="41"/>
      <c r="BI6" s="41"/>
      <c r="BJ6" s="4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ht="15.75" customHeight="1" x14ac:dyDescent="0.15">
      <c r="A7" s="1"/>
      <c r="B7" s="1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 ht="15.75" customHeight="1" x14ac:dyDescent="0.15">
      <c r="A8" s="27" t="s">
        <v>0</v>
      </c>
      <c r="B8" s="27" t="s">
        <v>1</v>
      </c>
      <c r="C8" s="29" t="s">
        <v>2</v>
      </c>
      <c r="D8" s="29" t="s">
        <v>3</v>
      </c>
      <c r="E8" s="29" t="s">
        <v>4</v>
      </c>
      <c r="F8" s="29" t="s">
        <v>5</v>
      </c>
      <c r="G8" s="29" t="s">
        <v>6</v>
      </c>
      <c r="H8" s="129" t="s">
        <v>7</v>
      </c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47" t="s">
        <v>8</v>
      </c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34" t="s">
        <v>10</v>
      </c>
      <c r="AW8" s="28"/>
      <c r="AX8" s="28"/>
      <c r="AY8" s="28"/>
      <c r="AZ8" s="35"/>
      <c r="BA8" s="39" t="s">
        <v>9</v>
      </c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</row>
    <row r="9" spans="1:85" ht="15.75" customHeight="1" x14ac:dyDescent="0.15">
      <c r="A9" s="28"/>
      <c r="B9" s="28"/>
      <c r="C9" s="28"/>
      <c r="D9" s="28"/>
      <c r="E9" s="28"/>
      <c r="F9" s="28"/>
      <c r="G9" s="28"/>
      <c r="H9" s="40" t="s">
        <v>11</v>
      </c>
      <c r="I9" s="30"/>
      <c r="J9" s="30"/>
      <c r="K9" s="30"/>
      <c r="L9" s="31"/>
      <c r="M9" s="42" t="s">
        <v>12</v>
      </c>
      <c r="N9" s="43"/>
      <c r="O9" s="43"/>
      <c r="P9" s="43"/>
      <c r="Q9" s="44"/>
      <c r="R9" s="45" t="s">
        <v>13</v>
      </c>
      <c r="S9" s="43"/>
      <c r="T9" s="43"/>
      <c r="U9" s="43"/>
      <c r="V9" s="44"/>
      <c r="W9" s="45" t="s">
        <v>14</v>
      </c>
      <c r="X9" s="43"/>
      <c r="Y9" s="43"/>
      <c r="Z9" s="43"/>
      <c r="AA9" s="44"/>
      <c r="AB9" s="49" t="s">
        <v>15</v>
      </c>
      <c r="AC9" s="50"/>
      <c r="AD9" s="50"/>
      <c r="AE9" s="50"/>
      <c r="AF9" s="51"/>
      <c r="AG9" s="49" t="s">
        <v>16</v>
      </c>
      <c r="AH9" s="50"/>
      <c r="AI9" s="50"/>
      <c r="AJ9" s="50"/>
      <c r="AK9" s="51"/>
      <c r="AL9" s="32" t="s">
        <v>17</v>
      </c>
      <c r="AM9" s="30"/>
      <c r="AN9" s="30"/>
      <c r="AO9" s="30"/>
      <c r="AP9" s="31"/>
      <c r="AQ9" s="32" t="s">
        <v>18</v>
      </c>
      <c r="AR9" s="30"/>
      <c r="AS9" s="30"/>
      <c r="AT9" s="30"/>
      <c r="AU9" s="31"/>
      <c r="AV9" s="36"/>
      <c r="AW9" s="37"/>
      <c r="AX9" s="37"/>
      <c r="AY9" s="37"/>
      <c r="AZ9" s="38"/>
      <c r="BA9" s="33" t="s">
        <v>19</v>
      </c>
      <c r="BB9" s="30"/>
      <c r="BC9" s="30"/>
      <c r="BD9" s="30"/>
      <c r="BE9" s="31"/>
      <c r="BF9" s="33" t="s">
        <v>20</v>
      </c>
      <c r="BG9" s="30"/>
      <c r="BH9" s="30"/>
      <c r="BI9" s="30"/>
      <c r="BJ9" s="31"/>
      <c r="BK9" s="33" t="s">
        <v>21</v>
      </c>
      <c r="BL9" s="30"/>
      <c r="BM9" s="30"/>
      <c r="BN9" s="30"/>
      <c r="BO9" s="31"/>
      <c r="BP9" s="33" t="s">
        <v>22</v>
      </c>
      <c r="BQ9" s="30"/>
      <c r="BR9" s="30"/>
      <c r="BS9" s="30"/>
      <c r="BT9" s="31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</row>
    <row r="10" spans="1:85" ht="15.75" customHeight="1" x14ac:dyDescent="0.15">
      <c r="A10" s="28"/>
      <c r="B10" s="28"/>
      <c r="C10" s="28"/>
      <c r="D10" s="28"/>
      <c r="E10" s="28"/>
      <c r="F10" s="28"/>
      <c r="G10" s="28"/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23</v>
      </c>
      <c r="N10" s="5" t="s">
        <v>24</v>
      </c>
      <c r="O10" s="5" t="s">
        <v>25</v>
      </c>
      <c r="P10" s="5" t="s">
        <v>26</v>
      </c>
      <c r="Q10" s="5" t="s">
        <v>27</v>
      </c>
      <c r="R10" s="52" t="s">
        <v>23</v>
      </c>
      <c r="S10" s="52" t="s">
        <v>24</v>
      </c>
      <c r="T10" s="52" t="s">
        <v>25</v>
      </c>
      <c r="U10" s="52" t="s">
        <v>26</v>
      </c>
      <c r="V10" s="52" t="s">
        <v>27</v>
      </c>
      <c r="W10" s="52" t="s">
        <v>23</v>
      </c>
      <c r="X10" s="52" t="s">
        <v>24</v>
      </c>
      <c r="Y10" s="52" t="s">
        <v>25</v>
      </c>
      <c r="Z10" s="52" t="s">
        <v>26</v>
      </c>
      <c r="AA10" s="52" t="s">
        <v>27</v>
      </c>
      <c r="AB10" s="46" t="s">
        <v>23</v>
      </c>
      <c r="AC10" s="46" t="s">
        <v>24</v>
      </c>
      <c r="AD10" s="46" t="s">
        <v>25</v>
      </c>
      <c r="AE10" s="46" t="s">
        <v>26</v>
      </c>
      <c r="AF10" s="46" t="s">
        <v>27</v>
      </c>
      <c r="AG10" s="46" t="s">
        <v>23</v>
      </c>
      <c r="AH10" s="46" t="s">
        <v>24</v>
      </c>
      <c r="AI10" s="46" t="s">
        <v>25</v>
      </c>
      <c r="AJ10" s="46" t="s">
        <v>26</v>
      </c>
      <c r="AK10" s="46" t="s">
        <v>27</v>
      </c>
      <c r="AL10" s="6" t="s">
        <v>23</v>
      </c>
      <c r="AM10" s="6" t="s">
        <v>24</v>
      </c>
      <c r="AN10" s="6" t="s">
        <v>25</v>
      </c>
      <c r="AO10" s="6" t="s">
        <v>26</v>
      </c>
      <c r="AP10" s="6" t="s">
        <v>27</v>
      </c>
      <c r="AQ10" s="6" t="s">
        <v>23</v>
      </c>
      <c r="AR10" s="6" t="s">
        <v>24</v>
      </c>
      <c r="AS10" s="6" t="s">
        <v>25</v>
      </c>
      <c r="AT10" s="6" t="s">
        <v>26</v>
      </c>
      <c r="AU10" s="6" t="s">
        <v>27</v>
      </c>
      <c r="AV10" s="7" t="s">
        <v>23</v>
      </c>
      <c r="AW10" s="7" t="s">
        <v>24</v>
      </c>
      <c r="AX10" s="7" t="s">
        <v>25</v>
      </c>
      <c r="AY10" s="7" t="s">
        <v>26</v>
      </c>
      <c r="AZ10" s="7" t="s">
        <v>27</v>
      </c>
      <c r="BA10" s="7" t="s">
        <v>23</v>
      </c>
      <c r="BB10" s="7" t="s">
        <v>24</v>
      </c>
      <c r="BC10" s="7" t="s">
        <v>25</v>
      </c>
      <c r="BD10" s="7" t="s">
        <v>26</v>
      </c>
      <c r="BE10" s="7" t="s">
        <v>27</v>
      </c>
      <c r="BF10" s="7" t="s">
        <v>23</v>
      </c>
      <c r="BG10" s="7" t="s">
        <v>24</v>
      </c>
      <c r="BH10" s="7" t="s">
        <v>25</v>
      </c>
      <c r="BI10" s="7" t="s">
        <v>26</v>
      </c>
      <c r="BJ10" s="7" t="s">
        <v>27</v>
      </c>
      <c r="BK10" s="7" t="s">
        <v>23</v>
      </c>
      <c r="BL10" s="7" t="s">
        <v>24</v>
      </c>
      <c r="BM10" s="7" t="s">
        <v>25</v>
      </c>
      <c r="BN10" s="7" t="s">
        <v>26</v>
      </c>
      <c r="BO10" s="7" t="s">
        <v>27</v>
      </c>
      <c r="BP10" s="7" t="s">
        <v>23</v>
      </c>
      <c r="BQ10" s="7" t="s">
        <v>24</v>
      </c>
      <c r="BR10" s="7" t="s">
        <v>25</v>
      </c>
      <c r="BS10" s="7" t="s">
        <v>26</v>
      </c>
      <c r="BT10" s="7" t="s">
        <v>27</v>
      </c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</row>
    <row r="11" spans="1:85" s="118" customFormat="1" ht="14" x14ac:dyDescent="0.2">
      <c r="A11" s="112">
        <v>1</v>
      </c>
      <c r="B11" s="113" t="s">
        <v>28</v>
      </c>
      <c r="C11" s="114"/>
      <c r="D11" s="114"/>
      <c r="E11" s="114"/>
      <c r="F11" s="114"/>
      <c r="G11" s="114"/>
      <c r="H11" s="115"/>
      <c r="I11" s="116"/>
      <c r="J11" s="117"/>
      <c r="K11" s="11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</row>
    <row r="12" spans="1:85" s="99" customFormat="1" ht="15.75" customHeight="1" x14ac:dyDescent="0.15">
      <c r="A12" s="91">
        <v>1</v>
      </c>
      <c r="B12" s="92" t="s">
        <v>36</v>
      </c>
      <c r="C12" s="93" t="s">
        <v>29</v>
      </c>
      <c r="D12" s="94">
        <v>45866</v>
      </c>
      <c r="E12" s="94">
        <v>45893</v>
      </c>
      <c r="F12" s="95">
        <f t="shared" ref="F12:F52" si="0">DAYS360(D12,E12)</f>
        <v>26</v>
      </c>
      <c r="G12" s="96">
        <v>1</v>
      </c>
      <c r="H12" s="97"/>
      <c r="I12" s="98"/>
      <c r="K12" s="98"/>
      <c r="L12" s="97"/>
      <c r="M12" s="100"/>
      <c r="N12" s="100"/>
      <c r="O12" s="100"/>
      <c r="P12" s="100"/>
      <c r="Q12" s="100"/>
      <c r="R12" s="101"/>
      <c r="S12" s="101"/>
      <c r="T12" s="101"/>
      <c r="U12" s="101"/>
      <c r="V12" s="101"/>
      <c r="W12" s="102"/>
      <c r="X12" s="102"/>
      <c r="Y12" s="102"/>
      <c r="Z12" s="102"/>
      <c r="AA12" s="102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104"/>
      <c r="AN12" s="104"/>
      <c r="AO12" s="104"/>
      <c r="AP12" s="104"/>
      <c r="AQ12" s="103"/>
      <c r="AR12" s="103"/>
      <c r="AS12" s="103"/>
      <c r="AT12" s="103"/>
      <c r="AU12" s="103"/>
      <c r="AV12" s="98"/>
      <c r="AW12" s="98"/>
      <c r="AX12" s="98"/>
      <c r="AY12" s="98"/>
      <c r="AZ12" s="98"/>
      <c r="BA12" s="98"/>
      <c r="BB12" s="103"/>
      <c r="BC12" s="103"/>
      <c r="BD12" s="103"/>
      <c r="BE12" s="103"/>
      <c r="BF12" s="105"/>
      <c r="BG12" s="105"/>
      <c r="BH12" s="105"/>
      <c r="BI12" s="105"/>
      <c r="BJ12" s="105"/>
      <c r="BK12" s="103"/>
      <c r="BL12" s="103"/>
      <c r="BM12" s="103"/>
      <c r="BN12" s="103"/>
      <c r="BO12" s="106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</row>
    <row r="13" spans="1:85" ht="15.75" customHeight="1" x14ac:dyDescent="0.15">
      <c r="A13" s="9">
        <v>1.1000000000000001</v>
      </c>
      <c r="B13" s="21" t="s">
        <v>31</v>
      </c>
      <c r="C13" s="56" t="s">
        <v>34</v>
      </c>
      <c r="D13" s="11">
        <v>45866</v>
      </c>
      <c r="E13" s="11">
        <v>45893</v>
      </c>
      <c r="F13" s="12">
        <f t="shared" si="0"/>
        <v>26</v>
      </c>
      <c r="G13" s="13">
        <v>1</v>
      </c>
      <c r="H13" s="19"/>
      <c r="I13" s="57"/>
      <c r="J13" s="5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9"/>
      <c r="AA13" s="72"/>
      <c r="AB13" s="17"/>
      <c r="AC13" s="17"/>
      <c r="AD13" s="17"/>
      <c r="AE13" s="17"/>
      <c r="AF13" s="17"/>
      <c r="AG13" s="128"/>
      <c r="AH13" s="128"/>
      <c r="AI13" s="128"/>
      <c r="AJ13" s="128"/>
      <c r="AK13" s="128"/>
      <c r="AL13" s="123"/>
      <c r="AM13" s="123"/>
      <c r="AN13" s="123"/>
      <c r="AO13" s="123"/>
      <c r="AP13" s="123"/>
      <c r="AQ13" s="128"/>
      <c r="AR13" s="128"/>
      <c r="AS13" s="128"/>
      <c r="AT13" s="128"/>
      <c r="AU13" s="128"/>
      <c r="AV13" s="17"/>
      <c r="AW13" s="17"/>
      <c r="AX13" s="17"/>
      <c r="AY13" s="17"/>
      <c r="AZ13" s="17"/>
      <c r="BA13" s="18"/>
      <c r="BB13" s="18"/>
      <c r="BC13" s="18"/>
      <c r="BD13" s="18"/>
      <c r="BE13" s="18"/>
      <c r="BK13" s="18"/>
      <c r="BL13" s="18"/>
      <c r="BM13" s="18"/>
      <c r="BN13" s="18"/>
      <c r="BO13" s="18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15.75" customHeight="1" x14ac:dyDescent="0.15">
      <c r="A14" s="9">
        <v>1.2</v>
      </c>
      <c r="B14" s="55" t="s">
        <v>55</v>
      </c>
      <c r="C14" s="56" t="s">
        <v>34</v>
      </c>
      <c r="D14" s="11">
        <v>45866</v>
      </c>
      <c r="E14" s="11">
        <v>45893</v>
      </c>
      <c r="F14" s="12">
        <f t="shared" si="0"/>
        <v>26</v>
      </c>
      <c r="G14" s="13">
        <v>1</v>
      </c>
      <c r="H14" s="19"/>
      <c r="I14" s="57"/>
      <c r="J14" s="57"/>
      <c r="K14" s="14"/>
      <c r="L14" s="14"/>
      <c r="M14" s="14"/>
      <c r="N14" s="14"/>
      <c r="O14" s="14"/>
      <c r="P14" s="15"/>
      <c r="Q14" s="15"/>
      <c r="R14" s="17"/>
      <c r="S14" s="17"/>
      <c r="T14" s="17"/>
      <c r="U14" s="17"/>
      <c r="V14" s="16"/>
      <c r="W14" s="72"/>
      <c r="X14" s="72"/>
      <c r="Y14" s="72"/>
      <c r="Z14" s="72"/>
      <c r="AA14" s="72"/>
      <c r="AB14" s="17"/>
      <c r="AC14" s="17"/>
      <c r="AD14" s="17"/>
      <c r="AE14" s="17"/>
      <c r="AF14" s="17"/>
      <c r="AG14" s="128"/>
      <c r="AH14" s="128"/>
      <c r="AI14" s="128"/>
      <c r="AJ14" s="128"/>
      <c r="AK14" s="128"/>
      <c r="AL14" s="123"/>
      <c r="AM14" s="123"/>
      <c r="AN14" s="123"/>
      <c r="AO14" s="123"/>
      <c r="AP14" s="123"/>
      <c r="AQ14" s="128"/>
      <c r="AR14" s="128"/>
      <c r="AS14" s="128"/>
      <c r="AT14" s="128"/>
      <c r="AU14" s="128"/>
      <c r="AV14" s="17"/>
      <c r="AW14" s="17"/>
      <c r="AX14" s="17"/>
      <c r="AY14" s="17"/>
      <c r="AZ14" s="17"/>
      <c r="BA14" s="18"/>
      <c r="BB14" s="18"/>
      <c r="BC14" s="18"/>
      <c r="BD14" s="18"/>
      <c r="BE14" s="18"/>
      <c r="BK14" s="18"/>
      <c r="BL14" s="18"/>
      <c r="BM14" s="18"/>
      <c r="BN14" s="18"/>
      <c r="BO14" s="18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ht="15.75" customHeight="1" x14ac:dyDescent="0.15">
      <c r="A15" s="9">
        <v>1.3</v>
      </c>
      <c r="B15" s="21" t="s">
        <v>33</v>
      </c>
      <c r="C15" s="10" t="s">
        <v>29</v>
      </c>
      <c r="D15" s="11">
        <v>45866</v>
      </c>
      <c r="E15" s="11">
        <v>45893</v>
      </c>
      <c r="F15" s="12">
        <f t="shared" si="0"/>
        <v>26</v>
      </c>
      <c r="G15" s="13">
        <v>1</v>
      </c>
      <c r="H15" s="19"/>
      <c r="I15" s="57"/>
      <c r="J15" s="57"/>
      <c r="K15" s="77"/>
      <c r="L15" s="19"/>
      <c r="M15" s="15"/>
      <c r="N15" s="15"/>
      <c r="O15" s="15"/>
      <c r="P15" s="15"/>
      <c r="Q15" s="15"/>
      <c r="R15" s="17"/>
      <c r="S15" s="17"/>
      <c r="T15" s="17"/>
      <c r="U15" s="17"/>
      <c r="V15" s="16"/>
      <c r="W15" s="72"/>
      <c r="X15" s="72"/>
      <c r="Y15" s="72"/>
      <c r="Z15" s="72"/>
      <c r="AA15" s="72"/>
      <c r="AB15" s="17"/>
      <c r="AC15" s="17"/>
      <c r="AD15" s="17"/>
      <c r="AE15" s="17"/>
      <c r="AF15" s="17"/>
      <c r="AG15" s="128"/>
      <c r="AH15" s="128"/>
      <c r="AI15" s="128"/>
      <c r="AJ15" s="128"/>
      <c r="AK15" s="128"/>
      <c r="AL15" s="123"/>
      <c r="AM15" s="123"/>
      <c r="AN15" s="123"/>
      <c r="AO15" s="123"/>
      <c r="AP15" s="123"/>
      <c r="AQ15" s="128"/>
      <c r="AR15" s="128"/>
      <c r="AS15" s="128"/>
      <c r="AT15" s="128"/>
      <c r="AU15" s="128"/>
      <c r="AV15" s="17"/>
      <c r="AW15" s="17"/>
      <c r="AX15" s="17"/>
      <c r="AY15" s="17"/>
      <c r="AZ15" s="17"/>
      <c r="BA15" s="18"/>
      <c r="BB15" s="18"/>
      <c r="BC15" s="18"/>
      <c r="BD15" s="18"/>
      <c r="BE15" s="18"/>
      <c r="BK15" s="18"/>
      <c r="BL15" s="18"/>
      <c r="BM15" s="18"/>
      <c r="BN15" s="18"/>
      <c r="BO15" s="18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ht="15.75" customHeight="1" x14ac:dyDescent="0.15">
      <c r="A16" s="9">
        <v>1.4</v>
      </c>
      <c r="B16" s="62" t="s">
        <v>46</v>
      </c>
      <c r="C16" s="56" t="s">
        <v>29</v>
      </c>
      <c r="D16" s="11">
        <v>45866</v>
      </c>
      <c r="E16" s="11">
        <v>45893</v>
      </c>
      <c r="F16" s="12">
        <f t="shared" si="0"/>
        <v>26</v>
      </c>
      <c r="G16" s="13"/>
      <c r="H16" s="19"/>
      <c r="I16" s="57"/>
      <c r="J16" s="57"/>
      <c r="K16" s="68"/>
      <c r="L16" s="19"/>
      <c r="M16" s="15"/>
      <c r="N16" s="15"/>
      <c r="O16" s="15"/>
      <c r="P16" s="15"/>
      <c r="Q16" s="15"/>
      <c r="R16" s="17"/>
      <c r="S16" s="17"/>
      <c r="T16" s="17"/>
      <c r="U16" s="17"/>
      <c r="V16" s="16"/>
      <c r="W16" s="72"/>
      <c r="X16" s="72"/>
      <c r="Y16" s="72"/>
      <c r="Z16" s="83"/>
      <c r="AA16" s="84"/>
      <c r="AB16" s="17"/>
      <c r="AC16" s="17"/>
      <c r="AD16" s="17"/>
      <c r="AE16" s="17"/>
      <c r="AF16" s="17"/>
      <c r="AG16" s="128"/>
      <c r="AH16" s="128"/>
      <c r="AI16" s="128"/>
      <c r="AJ16" s="128"/>
      <c r="AK16" s="128"/>
      <c r="AL16" s="123"/>
      <c r="AM16" s="123"/>
      <c r="AN16" s="123"/>
      <c r="AO16" s="123"/>
      <c r="AP16" s="123"/>
      <c r="AQ16" s="128"/>
      <c r="AR16" s="128"/>
      <c r="AS16" s="128"/>
      <c r="AT16" s="128"/>
      <c r="AU16" s="128"/>
      <c r="AV16" s="17"/>
      <c r="AW16" s="17"/>
      <c r="AX16" s="17"/>
      <c r="AY16" s="17"/>
      <c r="AZ16" s="17"/>
      <c r="BA16" s="18"/>
      <c r="BB16" s="18"/>
      <c r="BC16" s="18"/>
      <c r="BD16" s="18"/>
      <c r="BE16" s="18"/>
      <c r="BK16" s="18"/>
      <c r="BL16" s="18"/>
      <c r="BM16" s="18"/>
      <c r="BN16" s="18"/>
      <c r="BO16" s="18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 s="99" customFormat="1" ht="15.75" customHeight="1" x14ac:dyDescent="0.15">
      <c r="A17" s="91">
        <v>2</v>
      </c>
      <c r="B17" s="92" t="s">
        <v>40</v>
      </c>
      <c r="C17" s="93" t="s">
        <v>29</v>
      </c>
      <c r="D17" s="94">
        <v>45876</v>
      </c>
      <c r="E17" s="94">
        <v>45893</v>
      </c>
      <c r="F17" s="95">
        <f t="shared" si="0"/>
        <v>17</v>
      </c>
      <c r="G17" s="96">
        <v>1</v>
      </c>
      <c r="H17" s="97"/>
      <c r="I17" s="98"/>
      <c r="J17" s="98"/>
      <c r="K17" s="107"/>
      <c r="L17" s="97"/>
      <c r="M17" s="100"/>
      <c r="N17" s="100"/>
      <c r="O17" s="100"/>
      <c r="P17" s="100"/>
      <c r="Q17" s="100"/>
      <c r="R17" s="101"/>
      <c r="S17" s="101"/>
      <c r="T17" s="101"/>
      <c r="U17" s="101"/>
      <c r="V17" s="101"/>
      <c r="W17" s="108"/>
      <c r="X17" s="108"/>
      <c r="Y17" s="108"/>
      <c r="Z17" s="108"/>
      <c r="AA17" s="108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9"/>
      <c r="AM17" s="109"/>
      <c r="AN17" s="109"/>
      <c r="AO17" s="109"/>
      <c r="AP17" s="109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10"/>
      <c r="BG17" s="110"/>
      <c r="BH17" s="110"/>
      <c r="BI17" s="110"/>
      <c r="BJ17" s="110"/>
      <c r="BK17" s="101"/>
      <c r="BL17" s="101"/>
      <c r="BM17" s="101"/>
      <c r="BN17" s="101"/>
      <c r="BO17" s="111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</row>
    <row r="18" spans="1:85" ht="15.75" customHeight="1" x14ac:dyDescent="0.15">
      <c r="A18" s="9">
        <v>2.1</v>
      </c>
      <c r="B18" s="54" t="s">
        <v>41</v>
      </c>
      <c r="C18" s="56" t="s">
        <v>29</v>
      </c>
      <c r="D18" s="11">
        <v>45876</v>
      </c>
      <c r="E18" s="11">
        <v>45893</v>
      </c>
      <c r="F18" s="12">
        <f t="shared" si="0"/>
        <v>17</v>
      </c>
      <c r="G18" s="13">
        <v>1</v>
      </c>
      <c r="H18" s="19"/>
      <c r="I18" s="57"/>
      <c r="J18" s="57"/>
      <c r="K18" s="14"/>
      <c r="L18" s="14"/>
      <c r="M18" s="14"/>
      <c r="N18" s="14"/>
      <c r="O18" s="14"/>
      <c r="P18" s="14"/>
      <c r="Q18" s="15"/>
      <c r="R18" s="137"/>
      <c r="S18" s="137"/>
      <c r="T18" s="17"/>
      <c r="U18" s="17"/>
      <c r="V18" s="17"/>
      <c r="W18" s="73"/>
      <c r="X18" s="73"/>
      <c r="Y18" s="73"/>
      <c r="Z18" s="73"/>
      <c r="AA18" s="73"/>
      <c r="AB18" s="17"/>
      <c r="AC18" s="17"/>
      <c r="AD18" s="17"/>
      <c r="AE18" s="17"/>
      <c r="AF18" s="17"/>
      <c r="AG18" s="128"/>
      <c r="AH18" s="128"/>
      <c r="AI18" s="128"/>
      <c r="AJ18" s="128"/>
      <c r="AK18" s="128"/>
      <c r="AL18" s="123"/>
      <c r="AM18" s="123"/>
      <c r="AN18" s="123"/>
      <c r="AO18" s="123"/>
      <c r="AP18" s="123"/>
      <c r="AQ18" s="128"/>
      <c r="AR18" s="128"/>
      <c r="AS18" s="128"/>
      <c r="AT18" s="128"/>
      <c r="AU18" s="128"/>
      <c r="AV18" s="17"/>
      <c r="AW18" s="17"/>
      <c r="AX18" s="17"/>
      <c r="AY18" s="17"/>
      <c r="AZ18" s="17"/>
      <c r="BA18" s="18"/>
      <c r="BB18" s="18"/>
      <c r="BC18" s="18"/>
      <c r="BD18" s="18"/>
      <c r="BE18" s="18"/>
      <c r="BF18" s="123"/>
      <c r="BG18" s="123"/>
      <c r="BH18" s="123"/>
      <c r="BI18" s="123"/>
      <c r="BJ18" s="123"/>
      <c r="BK18" s="18"/>
      <c r="BL18" s="18"/>
      <c r="BM18" s="18"/>
      <c r="BN18" s="18"/>
      <c r="BO18" s="18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 ht="15.75" customHeight="1" x14ac:dyDescent="0.15">
      <c r="A19" s="9">
        <v>2.2000000000000002</v>
      </c>
      <c r="B19" s="54" t="s">
        <v>42</v>
      </c>
      <c r="C19" s="56" t="s">
        <v>29</v>
      </c>
      <c r="D19" s="11">
        <v>45876</v>
      </c>
      <c r="E19" s="11">
        <v>45893</v>
      </c>
      <c r="F19" s="12">
        <f t="shared" si="0"/>
        <v>17</v>
      </c>
      <c r="G19" s="13">
        <v>1</v>
      </c>
      <c r="H19" s="19"/>
      <c r="I19" s="57"/>
      <c r="J19" s="57"/>
      <c r="K19" s="68"/>
      <c r="L19" s="19"/>
      <c r="M19" s="15"/>
      <c r="N19" s="15"/>
      <c r="O19" s="15"/>
      <c r="P19" s="15"/>
      <c r="Q19" s="80"/>
      <c r="R19" s="81"/>
      <c r="S19" s="81"/>
      <c r="T19" s="81"/>
      <c r="U19" s="82"/>
      <c r="V19" s="17"/>
      <c r="W19" s="73"/>
      <c r="X19" s="73"/>
      <c r="Y19" s="73"/>
      <c r="Z19" s="73"/>
      <c r="AA19" s="73"/>
      <c r="AB19" s="17"/>
      <c r="AC19" s="17"/>
      <c r="AD19" s="17"/>
      <c r="AE19" s="17"/>
      <c r="AF19" s="17"/>
      <c r="AG19" s="128"/>
      <c r="AH19" s="128"/>
      <c r="AI19" s="128"/>
      <c r="AJ19" s="128"/>
      <c r="AK19" s="128"/>
      <c r="AL19" s="123"/>
      <c r="AM19" s="123"/>
      <c r="AN19" s="123"/>
      <c r="AO19" s="123"/>
      <c r="AP19" s="123"/>
      <c r="AQ19" s="128"/>
      <c r="AR19" s="128"/>
      <c r="AS19" s="128"/>
      <c r="AT19" s="128"/>
      <c r="AU19" s="128"/>
      <c r="AV19" s="17"/>
      <c r="AW19" s="17"/>
      <c r="AX19" s="17"/>
      <c r="AY19" s="17"/>
      <c r="AZ19" s="17"/>
      <c r="BA19" s="18"/>
      <c r="BB19" s="18"/>
      <c r="BC19" s="18"/>
      <c r="BD19" s="18"/>
      <c r="BE19" s="18"/>
      <c r="BF19" s="123"/>
      <c r="BG19" s="123"/>
      <c r="BH19" s="123"/>
      <c r="BI19" s="123"/>
      <c r="BJ19" s="123"/>
      <c r="BK19" s="18"/>
      <c r="BL19" s="18"/>
      <c r="BM19" s="18"/>
      <c r="BN19" s="18"/>
      <c r="BO19" s="18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 x14ac:dyDescent="0.15">
      <c r="A20" s="1">
        <v>2.2999999999999998</v>
      </c>
      <c r="B20" s="61" t="s">
        <v>43</v>
      </c>
      <c r="C20" s="10" t="s">
        <v>32</v>
      </c>
      <c r="D20" s="11">
        <v>45876</v>
      </c>
      <c r="E20" s="11">
        <v>45893</v>
      </c>
      <c r="F20" s="12">
        <f t="shared" si="0"/>
        <v>17</v>
      </c>
      <c r="G20" s="13">
        <v>1</v>
      </c>
      <c r="H20" s="20"/>
      <c r="I20" s="57"/>
      <c r="J20" s="57"/>
      <c r="K20" s="68"/>
      <c r="L20" s="20"/>
      <c r="M20" s="15"/>
      <c r="N20" s="15"/>
      <c r="O20" s="15"/>
      <c r="P20" s="15"/>
      <c r="Q20" s="15"/>
      <c r="R20" s="1"/>
      <c r="S20" s="1"/>
      <c r="T20" s="1"/>
      <c r="U20" s="14"/>
      <c r="V20" s="14"/>
      <c r="W20" s="14"/>
      <c r="X20" s="14"/>
      <c r="Y20" s="14"/>
      <c r="Z20" s="14"/>
      <c r="AA20" s="15"/>
      <c r="AB20" s="17"/>
      <c r="AC20" s="17"/>
      <c r="AD20" s="1"/>
      <c r="AE20" s="1"/>
      <c r="AF20" s="1"/>
      <c r="AG20" s="128"/>
      <c r="AH20" s="128"/>
      <c r="AI20" s="128"/>
      <c r="AJ20" s="128"/>
      <c r="AK20" s="128"/>
      <c r="AL20" s="124"/>
      <c r="AM20" s="124"/>
      <c r="AN20" s="124"/>
      <c r="AO20" s="124"/>
      <c r="AP20" s="124"/>
      <c r="AQ20" s="128"/>
      <c r="AR20" s="128"/>
      <c r="AS20" s="128"/>
      <c r="AT20" s="128"/>
      <c r="AU20" s="128"/>
      <c r="AV20" s="1"/>
      <c r="AW20" s="1"/>
      <c r="AX20" s="1"/>
      <c r="AY20" s="1"/>
      <c r="AZ20" s="1"/>
      <c r="BA20" s="18"/>
      <c r="BB20" s="18"/>
      <c r="BC20" s="18"/>
      <c r="BD20" s="18"/>
      <c r="BE20" s="18"/>
      <c r="BF20" s="57"/>
      <c r="BG20" s="57"/>
      <c r="BH20" s="57"/>
      <c r="BI20" s="57"/>
      <c r="BJ20" s="57"/>
      <c r="BK20" s="18"/>
      <c r="BL20" s="18"/>
      <c r="BM20" s="18"/>
      <c r="BN20" s="18"/>
      <c r="BO20" s="18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 ht="15.75" customHeight="1" x14ac:dyDescent="0.15">
      <c r="A21" s="1">
        <v>2.4</v>
      </c>
      <c r="B21" s="61" t="s">
        <v>44</v>
      </c>
      <c r="C21" s="56" t="s">
        <v>30</v>
      </c>
      <c r="D21" s="11">
        <v>45876</v>
      </c>
      <c r="E21" s="11">
        <v>45893</v>
      </c>
      <c r="F21" s="12">
        <f t="shared" si="0"/>
        <v>17</v>
      </c>
      <c r="G21" s="13">
        <v>1</v>
      </c>
      <c r="H21" s="20"/>
      <c r="I21" s="57"/>
      <c r="J21" s="57"/>
      <c r="K21" s="68"/>
      <c r="L21" s="20"/>
      <c r="M21" s="15"/>
      <c r="N21" s="15"/>
      <c r="O21" s="15"/>
      <c r="P21" s="15"/>
      <c r="Q21" s="15"/>
      <c r="R21" s="1"/>
      <c r="S21" s="1"/>
      <c r="T21" s="1"/>
      <c r="U21" s="14"/>
      <c r="V21" s="14"/>
      <c r="W21" s="14"/>
      <c r="X21" s="14"/>
      <c r="Y21" s="14"/>
      <c r="Z21" s="14"/>
      <c r="AA21" s="15"/>
      <c r="AB21" s="17"/>
      <c r="AC21" s="17"/>
      <c r="AD21" s="1"/>
      <c r="AE21" s="1"/>
      <c r="AF21" s="1"/>
      <c r="AG21" s="128"/>
      <c r="AH21" s="128"/>
      <c r="AI21" s="128"/>
      <c r="AJ21" s="128"/>
      <c r="AK21" s="128"/>
      <c r="AL21" s="125"/>
      <c r="AM21" s="125"/>
      <c r="AN21" s="125"/>
      <c r="AO21" s="125"/>
      <c r="AP21" s="125"/>
      <c r="AQ21" s="128"/>
      <c r="AR21" s="128"/>
      <c r="AS21" s="128"/>
      <c r="AT21" s="128"/>
      <c r="AU21" s="128"/>
      <c r="AV21" s="1"/>
      <c r="AW21" s="1"/>
      <c r="AX21" s="1"/>
      <c r="AY21" s="1"/>
      <c r="AZ21" s="1"/>
      <c r="BA21" s="18"/>
      <c r="BB21" s="18"/>
      <c r="BC21" s="18"/>
      <c r="BD21" s="18"/>
      <c r="BE21" s="18"/>
      <c r="BF21" s="57"/>
      <c r="BG21" s="57"/>
      <c r="BH21" s="57"/>
      <c r="BI21" s="57"/>
      <c r="BJ21" s="57"/>
      <c r="BK21" s="18"/>
      <c r="BL21" s="18"/>
      <c r="BM21" s="18"/>
      <c r="BN21" s="18"/>
      <c r="BO21" s="18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 x14ac:dyDescent="0.15">
      <c r="A22" s="1">
        <v>2.5</v>
      </c>
      <c r="B22" s="61" t="s">
        <v>45</v>
      </c>
      <c r="C22" s="56" t="s">
        <v>39</v>
      </c>
      <c r="D22" s="11">
        <v>45876</v>
      </c>
      <c r="E22" s="11">
        <v>45893</v>
      </c>
      <c r="F22" s="12">
        <f t="shared" si="0"/>
        <v>17</v>
      </c>
      <c r="G22" s="13">
        <v>1</v>
      </c>
      <c r="H22" s="20"/>
      <c r="I22" s="68"/>
      <c r="J22" s="68"/>
      <c r="K22" s="57"/>
      <c r="L22" s="20"/>
      <c r="M22" s="15"/>
      <c r="N22" s="15"/>
      <c r="O22" s="15"/>
      <c r="P22" s="15"/>
      <c r="Q22" s="15"/>
      <c r="R22" s="1"/>
      <c r="S22" s="1"/>
      <c r="T22" s="1"/>
      <c r="U22" s="14"/>
      <c r="V22" s="14"/>
      <c r="W22" s="14"/>
      <c r="X22" s="14"/>
      <c r="Y22" s="14"/>
      <c r="Z22" s="14"/>
      <c r="AA22" s="15"/>
      <c r="AB22" s="17"/>
      <c r="AC22" s="17"/>
      <c r="AD22" s="1"/>
      <c r="AE22" s="1"/>
      <c r="AF22" s="1"/>
      <c r="AG22" s="128"/>
      <c r="AH22" s="128"/>
      <c r="AI22" s="128"/>
      <c r="AJ22" s="128"/>
      <c r="AK22" s="128"/>
      <c r="AL22" s="126"/>
      <c r="AM22" s="126"/>
      <c r="AN22" s="126"/>
      <c r="AO22" s="126"/>
      <c r="AP22" s="126"/>
      <c r="AQ22" s="128"/>
      <c r="AR22" s="128"/>
      <c r="AS22" s="128"/>
      <c r="AT22" s="128"/>
      <c r="AU22" s="128"/>
      <c r="AV22" s="1"/>
      <c r="AW22" s="1"/>
      <c r="AX22" s="1"/>
      <c r="AY22" s="1"/>
      <c r="AZ22" s="1"/>
      <c r="BA22" s="18"/>
      <c r="BB22" s="18"/>
      <c r="BC22" s="18"/>
      <c r="BD22" s="18"/>
      <c r="BE22" s="18"/>
      <c r="BF22" s="57"/>
      <c r="BG22" s="57"/>
      <c r="BH22" s="57"/>
      <c r="BI22" s="57"/>
      <c r="BJ22" s="57"/>
      <c r="BK22" s="18"/>
      <c r="BL22" s="18"/>
      <c r="BM22" s="18"/>
      <c r="BN22" s="18"/>
      <c r="BO22" s="18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 x14ac:dyDescent="0.15">
      <c r="A23" s="9">
        <v>2.6</v>
      </c>
      <c r="B23" s="55" t="s">
        <v>37</v>
      </c>
      <c r="C23" s="56" t="s">
        <v>29</v>
      </c>
      <c r="D23" s="11">
        <v>45876</v>
      </c>
      <c r="E23" s="11">
        <v>45893</v>
      </c>
      <c r="F23" s="12">
        <f>DAYS360(D23,E23)</f>
        <v>17</v>
      </c>
      <c r="G23" s="13">
        <v>1</v>
      </c>
      <c r="H23" s="19"/>
      <c r="I23" s="14"/>
      <c r="J23" s="14"/>
      <c r="K23" s="14"/>
      <c r="L23" s="14"/>
      <c r="M23" s="14"/>
      <c r="N23" s="14"/>
      <c r="O23" s="14"/>
      <c r="P23" s="15"/>
      <c r="Q23" s="15"/>
      <c r="R23" s="17"/>
      <c r="S23" s="17"/>
      <c r="T23" s="17"/>
      <c r="U23" s="17"/>
      <c r="V23" s="17"/>
      <c r="W23" s="72"/>
      <c r="X23" s="72"/>
      <c r="Y23" s="72"/>
      <c r="Z23" s="72"/>
      <c r="AA23" s="72"/>
      <c r="AB23" s="17"/>
      <c r="AC23" s="17"/>
      <c r="AD23" s="17"/>
      <c r="AE23" s="17"/>
      <c r="AF23" s="17"/>
      <c r="AG23" s="128"/>
      <c r="AH23" s="128"/>
      <c r="AI23" s="128"/>
      <c r="AJ23" s="128"/>
      <c r="AK23" s="128"/>
      <c r="AL23" s="123"/>
      <c r="AM23" s="123"/>
      <c r="AN23" s="123"/>
      <c r="AO23" s="123"/>
      <c r="AP23" s="123"/>
      <c r="AQ23" s="128"/>
      <c r="AR23" s="128"/>
      <c r="AS23" s="128"/>
      <c r="AT23" s="128"/>
      <c r="AU23" s="128"/>
      <c r="AV23" s="17"/>
      <c r="AW23" s="17"/>
      <c r="AX23" s="17"/>
      <c r="AY23" s="17"/>
      <c r="AZ23" s="17"/>
      <c r="BA23" s="18"/>
      <c r="BB23" s="18"/>
      <c r="BC23" s="18"/>
      <c r="BD23" s="18"/>
      <c r="BE23" s="18"/>
      <c r="BF23" s="123"/>
      <c r="BG23" s="123"/>
      <c r="BH23" s="123"/>
      <c r="BI23" s="123"/>
      <c r="BJ23" s="123"/>
      <c r="BK23" s="18"/>
      <c r="BL23" s="18"/>
      <c r="BM23" s="18"/>
      <c r="BN23" s="18"/>
      <c r="BO23" s="18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 x14ac:dyDescent="0.15">
      <c r="A24" s="64">
        <v>2.7</v>
      </c>
      <c r="B24" s="62" t="s">
        <v>56</v>
      </c>
      <c r="C24" s="56" t="s">
        <v>29</v>
      </c>
      <c r="D24" s="11">
        <v>45876</v>
      </c>
      <c r="E24" s="11">
        <v>45893</v>
      </c>
      <c r="F24" s="12">
        <f>DAYS360(D24,E24)</f>
        <v>17</v>
      </c>
      <c r="G24" s="13">
        <v>1</v>
      </c>
      <c r="H24" s="71"/>
      <c r="I24" s="57"/>
      <c r="J24" s="57"/>
      <c r="K24" s="57"/>
      <c r="L24" s="57"/>
      <c r="M24" s="15"/>
      <c r="N24" s="15"/>
      <c r="O24" s="15"/>
      <c r="P24" s="75"/>
      <c r="Q24" s="15"/>
      <c r="R24" s="17"/>
      <c r="S24" s="17"/>
      <c r="T24" s="64"/>
      <c r="U24" s="64"/>
      <c r="V24" s="64"/>
      <c r="W24" s="15"/>
      <c r="X24" s="15"/>
      <c r="Y24" s="15"/>
      <c r="Z24" s="76"/>
      <c r="AA24" s="15"/>
      <c r="AB24" s="17"/>
      <c r="AC24" s="17"/>
      <c r="AD24" s="64"/>
      <c r="AE24" s="64"/>
      <c r="AF24" s="64"/>
      <c r="AG24" s="128"/>
      <c r="AH24" s="128"/>
      <c r="AI24" s="128"/>
      <c r="AJ24" s="128"/>
      <c r="AK24" s="128"/>
      <c r="AL24" s="123"/>
      <c r="AM24" s="123"/>
      <c r="AN24" s="123"/>
      <c r="AO24" s="123"/>
      <c r="AP24" s="123"/>
      <c r="AQ24" s="128"/>
      <c r="AR24" s="128"/>
      <c r="AS24" s="128"/>
      <c r="AT24" s="128"/>
      <c r="AU24" s="128"/>
      <c r="AV24" s="64"/>
      <c r="AW24" s="64"/>
      <c r="AX24" s="64"/>
      <c r="AY24" s="64"/>
      <c r="AZ24" s="64"/>
      <c r="BA24" s="18"/>
      <c r="BB24" s="18"/>
      <c r="BC24" s="18"/>
      <c r="BD24" s="18"/>
      <c r="BE24" s="18"/>
      <c r="BF24" s="127"/>
      <c r="BG24" s="127"/>
      <c r="BH24" s="127"/>
      <c r="BI24" s="127"/>
      <c r="BJ24" s="127"/>
      <c r="BK24" s="18"/>
      <c r="BL24" s="18"/>
      <c r="BM24" s="18"/>
      <c r="BN24" s="18"/>
      <c r="BO24" s="18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s="85" customFormat="1" ht="15.75" customHeight="1" x14ac:dyDescent="0.15">
      <c r="A25" s="22">
        <v>3</v>
      </c>
      <c r="B25" s="63" t="s">
        <v>47</v>
      </c>
      <c r="C25" s="23" t="s">
        <v>29</v>
      </c>
      <c r="D25" s="24">
        <v>45883</v>
      </c>
      <c r="E25" s="24">
        <v>45894</v>
      </c>
      <c r="F25" s="25">
        <f t="shared" si="0"/>
        <v>11</v>
      </c>
      <c r="G25" s="26">
        <v>1</v>
      </c>
      <c r="H25" s="88"/>
      <c r="I25" s="88"/>
      <c r="J25" s="88"/>
      <c r="K25" s="88"/>
      <c r="L25" s="88"/>
      <c r="M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119"/>
      <c r="AM25" s="119"/>
      <c r="AN25" s="119"/>
      <c r="AO25" s="119"/>
      <c r="AP25" s="119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120"/>
      <c r="BG25" s="120"/>
      <c r="BH25" s="120"/>
      <c r="BI25" s="120"/>
      <c r="BJ25" s="120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</row>
    <row r="26" spans="1:85" ht="15.75" customHeight="1" x14ac:dyDescent="0.15">
      <c r="A26" s="57">
        <v>3.1</v>
      </c>
      <c r="B26" s="65" t="s">
        <v>48</v>
      </c>
      <c r="C26" s="69" t="s">
        <v>29</v>
      </c>
      <c r="D26" s="66">
        <v>45883</v>
      </c>
      <c r="E26" s="66">
        <v>45894</v>
      </c>
      <c r="F26" s="67">
        <f t="shared" si="0"/>
        <v>11</v>
      </c>
      <c r="G26" s="121">
        <v>1</v>
      </c>
      <c r="H26" s="68"/>
      <c r="I26" s="68"/>
      <c r="J26" s="68"/>
      <c r="K26" s="68"/>
      <c r="L26" s="68"/>
      <c r="M26" s="15"/>
      <c r="N26" s="15"/>
      <c r="O26" s="15"/>
      <c r="P26" s="15"/>
      <c r="Q26" s="15"/>
      <c r="R26" s="1"/>
      <c r="S26" s="1"/>
      <c r="T26" s="1"/>
      <c r="U26" s="89"/>
      <c r="V26" s="89"/>
      <c r="W26" s="89"/>
      <c r="X26" s="89"/>
      <c r="Y26" s="89"/>
      <c r="Z26" s="89"/>
      <c r="AA26" s="90"/>
      <c r="AB26" s="1"/>
      <c r="AC26" s="1"/>
      <c r="AD26" s="1"/>
      <c r="AE26" s="1"/>
      <c r="AF26" s="1"/>
      <c r="AG26" s="128"/>
      <c r="AH26" s="128"/>
      <c r="AI26" s="128"/>
      <c r="AJ26" s="128"/>
      <c r="AK26" s="128"/>
      <c r="AL26" s="127"/>
      <c r="AM26" s="127"/>
      <c r="AN26" s="127"/>
      <c r="AO26" s="127"/>
      <c r="AP26" s="127"/>
      <c r="AQ26" s="128"/>
      <c r="AR26" s="128"/>
      <c r="AS26" s="128"/>
      <c r="AT26" s="128"/>
      <c r="AU26" s="128"/>
      <c r="AV26" s="1"/>
      <c r="AW26" s="1"/>
      <c r="AX26" s="1"/>
      <c r="AY26" s="1"/>
      <c r="AZ26" s="1"/>
      <c r="BA26" s="18"/>
      <c r="BB26" s="18"/>
      <c r="BC26" s="18"/>
      <c r="BD26" s="18"/>
      <c r="BE26" s="18"/>
      <c r="BF26" s="57"/>
      <c r="BG26" s="57"/>
      <c r="BH26" s="57"/>
      <c r="BI26" s="57"/>
      <c r="BJ26" s="57"/>
      <c r="BK26" s="18"/>
      <c r="BL26" s="18"/>
      <c r="BM26" s="18"/>
      <c r="BN26" s="18"/>
      <c r="BO26" s="18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 x14ac:dyDescent="0.15">
      <c r="A27" s="57">
        <v>3.2</v>
      </c>
      <c r="B27" s="65" t="s">
        <v>49</v>
      </c>
      <c r="C27" s="69" t="s">
        <v>50</v>
      </c>
      <c r="D27" s="66">
        <v>45883</v>
      </c>
      <c r="E27" s="66">
        <v>45894</v>
      </c>
      <c r="F27" s="12">
        <f t="shared" si="0"/>
        <v>11</v>
      </c>
      <c r="G27" s="121">
        <v>1</v>
      </c>
      <c r="H27" s="68"/>
      <c r="I27" s="68"/>
      <c r="J27" s="68"/>
      <c r="K27" s="68"/>
      <c r="L27" s="68"/>
      <c r="M27" s="15"/>
      <c r="N27" s="15"/>
      <c r="O27" s="15"/>
      <c r="P27" s="15"/>
      <c r="Q27" s="15"/>
      <c r="R27" s="1"/>
      <c r="S27" s="1"/>
      <c r="T27" s="1"/>
      <c r="U27" s="89"/>
      <c r="V27" s="89"/>
      <c r="W27" s="89"/>
      <c r="X27" s="89"/>
      <c r="Y27" s="89"/>
      <c r="Z27" s="89"/>
      <c r="AA27" s="90"/>
      <c r="AB27" s="1"/>
      <c r="AC27" s="1"/>
      <c r="AD27" s="1"/>
      <c r="AE27" s="1"/>
      <c r="AF27" s="1"/>
      <c r="AG27" s="128"/>
      <c r="AH27" s="128"/>
      <c r="AI27" s="128"/>
      <c r="AJ27" s="128"/>
      <c r="AK27" s="128"/>
      <c r="AL27" s="127"/>
      <c r="AM27" s="127"/>
      <c r="AN27" s="127"/>
      <c r="AO27" s="127"/>
      <c r="AP27" s="127"/>
      <c r="AQ27" s="128"/>
      <c r="AR27" s="128"/>
      <c r="AS27" s="128"/>
      <c r="AT27" s="128"/>
      <c r="AU27" s="128"/>
      <c r="AV27" s="1"/>
      <c r="AW27" s="1"/>
      <c r="AX27" s="1"/>
      <c r="AY27" s="1"/>
      <c r="AZ27" s="1"/>
      <c r="BA27" s="18"/>
      <c r="BB27" s="18"/>
      <c r="BC27" s="18"/>
      <c r="BD27" s="18"/>
      <c r="BE27" s="18"/>
      <c r="BF27" s="57"/>
      <c r="BG27" s="57"/>
      <c r="BH27" s="57"/>
      <c r="BI27" s="57"/>
      <c r="BJ27" s="57"/>
      <c r="BK27" s="18"/>
      <c r="BL27" s="18"/>
      <c r="BM27" s="18"/>
      <c r="BN27" s="18"/>
      <c r="BO27" s="18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 ht="15.75" customHeight="1" x14ac:dyDescent="0.15">
      <c r="A28" s="57">
        <v>3.3</v>
      </c>
      <c r="B28" s="65" t="s">
        <v>51</v>
      </c>
      <c r="C28" s="69" t="s">
        <v>32</v>
      </c>
      <c r="D28" s="66">
        <v>45883</v>
      </c>
      <c r="E28" s="66">
        <v>45894</v>
      </c>
      <c r="F28" s="122">
        <f t="shared" si="0"/>
        <v>11</v>
      </c>
      <c r="G28" s="121">
        <v>1</v>
      </c>
      <c r="H28" s="68"/>
      <c r="I28" s="68"/>
      <c r="J28" s="68"/>
      <c r="K28" s="68"/>
      <c r="L28" s="68"/>
      <c r="M28" s="15"/>
      <c r="N28" s="15"/>
      <c r="O28" s="15"/>
      <c r="P28" s="15"/>
      <c r="Q28" s="15"/>
      <c r="R28" s="1"/>
      <c r="S28" s="1"/>
      <c r="T28" s="1"/>
      <c r="U28" s="89"/>
      <c r="V28" s="89"/>
      <c r="W28" s="89"/>
      <c r="X28" s="89"/>
      <c r="Y28" s="89"/>
      <c r="Z28" s="89"/>
      <c r="AA28" s="90"/>
      <c r="AB28" s="1"/>
      <c r="AC28" s="1"/>
      <c r="AD28" s="1"/>
      <c r="AE28" s="1"/>
      <c r="AF28" s="1"/>
      <c r="AG28" s="128"/>
      <c r="AH28" s="128"/>
      <c r="AI28" s="128"/>
      <c r="AJ28" s="128"/>
      <c r="AK28" s="128"/>
      <c r="AL28" s="127"/>
      <c r="AM28" s="127"/>
      <c r="AN28" s="127"/>
      <c r="AO28" s="127"/>
      <c r="AP28" s="127"/>
      <c r="AQ28" s="128"/>
      <c r="AR28" s="128"/>
      <c r="AS28" s="128"/>
      <c r="AT28" s="128"/>
      <c r="AU28" s="128"/>
      <c r="AV28" s="1"/>
      <c r="AW28" s="1"/>
      <c r="AX28" s="1"/>
      <c r="AY28" s="1"/>
      <c r="AZ28" s="1"/>
      <c r="BA28" s="18"/>
      <c r="BB28" s="18"/>
      <c r="BC28" s="18"/>
      <c r="BD28" s="18"/>
      <c r="BE28" s="18"/>
      <c r="BF28" s="57"/>
      <c r="BG28" s="57"/>
      <c r="BH28" s="57"/>
      <c r="BI28" s="57"/>
      <c r="BJ28" s="57"/>
      <c r="BK28" s="18"/>
      <c r="BL28" s="18"/>
      <c r="BM28" s="18"/>
      <c r="BN28" s="18"/>
      <c r="BO28" s="18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 x14ac:dyDescent="0.15">
      <c r="A29" s="57">
        <v>3.4</v>
      </c>
      <c r="B29" s="65" t="s">
        <v>52</v>
      </c>
      <c r="C29" s="69" t="s">
        <v>34</v>
      </c>
      <c r="D29" s="66">
        <v>45883</v>
      </c>
      <c r="E29" s="66">
        <v>45894</v>
      </c>
      <c r="F29" s="67">
        <f t="shared" si="0"/>
        <v>11</v>
      </c>
      <c r="G29" s="121">
        <v>1</v>
      </c>
      <c r="H29" s="68"/>
      <c r="I29" s="68"/>
      <c r="J29" s="68"/>
      <c r="K29" s="68"/>
      <c r="L29" s="68"/>
      <c r="M29" s="15"/>
      <c r="N29" s="15"/>
      <c r="O29" s="15"/>
      <c r="P29" s="15"/>
      <c r="Q29" s="15"/>
      <c r="R29" s="1"/>
      <c r="S29" s="1"/>
      <c r="T29" s="1"/>
      <c r="U29" s="89"/>
      <c r="V29" s="89"/>
      <c r="W29" s="89"/>
      <c r="X29" s="89"/>
      <c r="Y29" s="89"/>
      <c r="Z29" s="89"/>
      <c r="AA29" s="90"/>
      <c r="AB29" s="1"/>
      <c r="AC29" s="1"/>
      <c r="AD29" s="1"/>
      <c r="AE29" s="1"/>
      <c r="AF29" s="1"/>
      <c r="AG29" s="128"/>
      <c r="AH29" s="128"/>
      <c r="AI29" s="128"/>
      <c r="AJ29" s="128"/>
      <c r="AK29" s="128"/>
      <c r="AL29" s="127"/>
      <c r="AM29" s="127"/>
      <c r="AN29" s="127"/>
      <c r="AO29" s="127"/>
      <c r="AP29" s="127"/>
      <c r="AQ29" s="128"/>
      <c r="AR29" s="128"/>
      <c r="AS29" s="128"/>
      <c r="AT29" s="128"/>
      <c r="AU29" s="128"/>
      <c r="AV29" s="1"/>
      <c r="AW29" s="1"/>
      <c r="AX29" s="1"/>
      <c r="AY29" s="1"/>
      <c r="AZ29" s="1"/>
      <c r="BA29" s="18"/>
      <c r="BB29" s="18"/>
      <c r="BC29" s="18"/>
      <c r="BD29" s="18"/>
      <c r="BE29" s="18"/>
      <c r="BF29" s="57"/>
      <c r="BG29" s="57"/>
      <c r="BH29" s="57"/>
      <c r="BI29" s="57"/>
      <c r="BJ29" s="57"/>
      <c r="BK29" s="18"/>
      <c r="BL29" s="18"/>
      <c r="BM29" s="18"/>
      <c r="BN29" s="18"/>
      <c r="BO29" s="18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 x14ac:dyDescent="0.15">
      <c r="A30" s="57">
        <v>3.5</v>
      </c>
      <c r="B30" s="65" t="s">
        <v>53</v>
      </c>
      <c r="C30" s="69" t="s">
        <v>30</v>
      </c>
      <c r="D30" s="66">
        <v>45883</v>
      </c>
      <c r="E30" s="66">
        <v>45894</v>
      </c>
      <c r="F30" s="12">
        <f t="shared" si="0"/>
        <v>11</v>
      </c>
      <c r="G30" s="121">
        <v>1</v>
      </c>
      <c r="H30" s="68"/>
      <c r="I30" s="68"/>
      <c r="J30" s="68"/>
      <c r="K30" s="68"/>
      <c r="L30" s="68"/>
      <c r="M30" s="15"/>
      <c r="N30" s="15"/>
      <c r="O30" s="15"/>
      <c r="P30" s="15"/>
      <c r="Q30" s="15"/>
      <c r="R30" s="1"/>
      <c r="S30" s="1"/>
      <c r="T30" s="1"/>
      <c r="U30" s="89"/>
      <c r="V30" s="89"/>
      <c r="W30" s="89"/>
      <c r="X30" s="89"/>
      <c r="Y30" s="89"/>
      <c r="Z30" s="89"/>
      <c r="AA30" s="90"/>
      <c r="AB30" s="1"/>
      <c r="AC30" s="1"/>
      <c r="AD30" s="1"/>
      <c r="AE30" s="1"/>
      <c r="AF30" s="1"/>
      <c r="AG30" s="128"/>
      <c r="AH30" s="128"/>
      <c r="AI30" s="128"/>
      <c r="AJ30" s="128"/>
      <c r="AK30" s="128"/>
      <c r="AL30" s="127"/>
      <c r="AM30" s="127"/>
      <c r="AN30" s="127"/>
      <c r="AO30" s="127"/>
      <c r="AP30" s="127"/>
      <c r="AQ30" s="128"/>
      <c r="AR30" s="128"/>
      <c r="AS30" s="128"/>
      <c r="AT30" s="128"/>
      <c r="AU30" s="128"/>
      <c r="AV30" s="1"/>
      <c r="AW30" s="1"/>
      <c r="AX30" s="1"/>
      <c r="AY30" s="1"/>
      <c r="AZ30" s="1"/>
      <c r="BA30" s="18"/>
      <c r="BB30" s="18"/>
      <c r="BC30" s="18"/>
      <c r="BD30" s="18"/>
      <c r="BE30" s="18"/>
      <c r="BF30" s="57"/>
      <c r="BG30" s="57"/>
      <c r="BH30" s="57"/>
      <c r="BI30" s="57"/>
      <c r="BJ30" s="57"/>
      <c r="BK30" s="18"/>
      <c r="BL30" s="18"/>
      <c r="BM30" s="18"/>
      <c r="BN30" s="18"/>
      <c r="BO30" s="18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 x14ac:dyDescent="0.15">
      <c r="A31" s="57">
        <v>3.6</v>
      </c>
      <c r="B31" s="65" t="s">
        <v>54</v>
      </c>
      <c r="C31" s="69" t="s">
        <v>39</v>
      </c>
      <c r="D31" s="66">
        <v>45883</v>
      </c>
      <c r="E31" s="66">
        <v>45894</v>
      </c>
      <c r="F31" s="122">
        <f t="shared" si="0"/>
        <v>11</v>
      </c>
      <c r="G31" s="121">
        <v>1</v>
      </c>
      <c r="H31" s="68"/>
      <c r="I31" s="68"/>
      <c r="J31" s="68"/>
      <c r="K31" s="68"/>
      <c r="L31" s="68"/>
      <c r="M31" s="15"/>
      <c r="N31" s="15"/>
      <c r="O31" s="15"/>
      <c r="P31" s="15"/>
      <c r="Q31" s="15"/>
      <c r="R31" s="1"/>
      <c r="S31" s="1"/>
      <c r="T31" s="1"/>
      <c r="U31" s="89"/>
      <c r="V31" s="89"/>
      <c r="W31" s="89"/>
      <c r="X31" s="89"/>
      <c r="Y31" s="89"/>
      <c r="Z31" s="89"/>
      <c r="AA31" s="90"/>
      <c r="AB31" s="1"/>
      <c r="AC31" s="1"/>
      <c r="AD31" s="1"/>
      <c r="AE31" s="1"/>
      <c r="AF31" s="1"/>
      <c r="AG31" s="128"/>
      <c r="AH31" s="128"/>
      <c r="AI31" s="128"/>
      <c r="AJ31" s="128"/>
      <c r="AK31" s="128"/>
      <c r="AL31" s="127"/>
      <c r="AM31" s="127"/>
      <c r="AN31" s="127"/>
      <c r="AO31" s="127"/>
      <c r="AP31" s="127"/>
      <c r="AQ31" s="128"/>
      <c r="AR31" s="128"/>
      <c r="AS31" s="128"/>
      <c r="AT31" s="128"/>
      <c r="AU31" s="128"/>
      <c r="AV31" s="1"/>
      <c r="AW31" s="1"/>
      <c r="AX31" s="1"/>
      <c r="AY31" s="1"/>
      <c r="AZ31" s="1"/>
      <c r="BA31" s="18"/>
      <c r="BB31" s="18"/>
      <c r="BC31" s="18"/>
      <c r="BD31" s="18"/>
      <c r="BE31" s="18"/>
      <c r="BF31" s="57"/>
      <c r="BG31" s="57"/>
      <c r="BH31" s="57"/>
      <c r="BI31" s="57"/>
      <c r="BJ31" s="57"/>
      <c r="BK31" s="18"/>
      <c r="BL31" s="18"/>
      <c r="BM31" s="18"/>
      <c r="BN31" s="18"/>
      <c r="BO31" s="18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s="118" customFormat="1" ht="14" x14ac:dyDescent="0.2">
      <c r="A32" s="112">
        <v>2</v>
      </c>
      <c r="B32" s="113" t="s">
        <v>35</v>
      </c>
      <c r="C32" s="114"/>
      <c r="D32" s="114"/>
      <c r="E32" s="114"/>
      <c r="F32" s="114"/>
      <c r="G32" s="114"/>
      <c r="H32" s="115"/>
      <c r="I32" s="116"/>
      <c r="J32" s="117"/>
      <c r="K32" s="11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  <c r="CF32" s="115"/>
      <c r="CG32" s="115"/>
    </row>
    <row r="33" spans="1:85" s="99" customFormat="1" ht="15.75" customHeight="1" x14ac:dyDescent="0.15">
      <c r="A33" s="98">
        <v>1</v>
      </c>
      <c r="B33" s="174" t="s">
        <v>57</v>
      </c>
      <c r="C33" s="175" t="s">
        <v>29</v>
      </c>
      <c r="D33" s="176">
        <v>45894</v>
      </c>
      <c r="E33" s="176">
        <v>45921</v>
      </c>
      <c r="F33" s="95">
        <f t="shared" si="0"/>
        <v>26</v>
      </c>
      <c r="G33" s="177">
        <v>0</v>
      </c>
      <c r="H33" s="97"/>
      <c r="I33" s="178"/>
      <c r="J33" s="103"/>
      <c r="K33" s="103"/>
      <c r="L33" s="103"/>
      <c r="M33" s="101"/>
      <c r="N33" s="101"/>
      <c r="O33" s="101"/>
      <c r="P33" s="101"/>
      <c r="Q33" s="101"/>
      <c r="R33" s="103"/>
      <c r="S33" s="103"/>
      <c r="T33" s="103"/>
      <c r="U33" s="103"/>
      <c r="V33" s="98"/>
      <c r="W33" s="101"/>
      <c r="X33" s="101"/>
      <c r="Y33" s="101"/>
      <c r="Z33" s="101"/>
      <c r="AA33" s="98"/>
      <c r="AB33" s="103"/>
      <c r="AC33" s="103"/>
      <c r="AD33" s="103"/>
      <c r="AE33" s="103"/>
      <c r="AF33" s="98"/>
      <c r="AG33" s="101"/>
      <c r="AH33" s="101"/>
      <c r="AI33" s="101"/>
      <c r="AJ33" s="101"/>
      <c r="AK33" s="101"/>
      <c r="AL33" s="103"/>
      <c r="AM33" s="103"/>
      <c r="AN33" s="103"/>
      <c r="AO33" s="103"/>
      <c r="AP33" s="103"/>
      <c r="AQ33" s="101"/>
      <c r="AR33" s="101"/>
      <c r="AS33" s="101"/>
      <c r="AT33" s="101"/>
      <c r="AU33" s="101"/>
      <c r="AV33" s="103"/>
      <c r="AW33" s="103"/>
      <c r="AX33" s="103"/>
      <c r="AY33" s="103"/>
      <c r="AZ33" s="103"/>
      <c r="BA33" s="110"/>
      <c r="BB33" s="110"/>
      <c r="BC33" s="110"/>
      <c r="BD33" s="110"/>
      <c r="BE33" s="110"/>
      <c r="BF33" s="103"/>
      <c r="BG33" s="103"/>
      <c r="BH33" s="103"/>
      <c r="BI33" s="103"/>
      <c r="BJ33" s="103"/>
      <c r="BK33" s="110"/>
      <c r="BL33" s="110"/>
      <c r="BM33" s="110"/>
      <c r="BN33" s="110"/>
      <c r="BO33" s="110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</row>
    <row r="34" spans="1:85" s="70" customFormat="1" ht="15.75" customHeight="1" x14ac:dyDescent="0.15">
      <c r="A34" s="57">
        <v>1.1000000000000001</v>
      </c>
      <c r="B34" s="65" t="s">
        <v>58</v>
      </c>
      <c r="C34" s="69" t="s">
        <v>32</v>
      </c>
      <c r="D34" s="66">
        <v>45894</v>
      </c>
      <c r="E34" s="66">
        <v>45921</v>
      </c>
      <c r="F34" s="122">
        <f t="shared" si="0"/>
        <v>26</v>
      </c>
      <c r="G34" s="121">
        <v>0</v>
      </c>
      <c r="H34" s="139"/>
      <c r="I34" s="140"/>
      <c r="J34" s="123"/>
      <c r="K34" s="123"/>
      <c r="L34" s="123"/>
      <c r="M34" s="148"/>
      <c r="N34" s="148"/>
      <c r="O34" s="148"/>
      <c r="P34" s="148"/>
      <c r="Q34" s="148"/>
      <c r="R34" s="57"/>
      <c r="S34" s="57"/>
      <c r="T34" s="57"/>
      <c r="U34" s="57"/>
      <c r="V34" s="137"/>
      <c r="W34" s="15"/>
      <c r="X34" s="15"/>
      <c r="Y34" s="15"/>
      <c r="Z34" s="74"/>
      <c r="AA34" s="148"/>
      <c r="AB34" s="181"/>
      <c r="AC34" s="182"/>
      <c r="AD34" s="182"/>
      <c r="AE34" s="182"/>
      <c r="AF34" s="183"/>
      <c r="AG34" s="128"/>
      <c r="AH34" s="128"/>
      <c r="AI34" s="128"/>
      <c r="AJ34" s="128"/>
      <c r="AK34" s="128"/>
      <c r="AL34" s="123"/>
      <c r="AM34" s="123"/>
      <c r="AN34" s="123"/>
      <c r="AO34" s="123"/>
      <c r="AP34" s="123"/>
      <c r="AQ34" s="128"/>
      <c r="AR34" s="128"/>
      <c r="AS34" s="128"/>
      <c r="AT34" s="128"/>
      <c r="AU34" s="128"/>
      <c r="AV34" s="123"/>
      <c r="AW34" s="123"/>
      <c r="AX34" s="123"/>
      <c r="AY34" s="123"/>
      <c r="AZ34" s="123"/>
      <c r="BA34" s="18"/>
      <c r="BB34" s="18"/>
      <c r="BC34" s="18"/>
      <c r="BD34" s="18"/>
      <c r="BE34" s="18"/>
      <c r="BF34" s="123"/>
      <c r="BG34" s="123"/>
      <c r="BH34" s="123"/>
      <c r="BI34" s="123"/>
      <c r="BJ34" s="123"/>
      <c r="BK34" s="18"/>
      <c r="BL34" s="18"/>
      <c r="BM34" s="18"/>
      <c r="BN34" s="18"/>
      <c r="BO34" s="18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</row>
    <row r="35" spans="1:85" s="70" customFormat="1" ht="15.75" customHeight="1" x14ac:dyDescent="0.15">
      <c r="A35" s="156">
        <v>1.2</v>
      </c>
      <c r="B35" s="193" t="s">
        <v>59</v>
      </c>
      <c r="C35" s="69" t="s">
        <v>32</v>
      </c>
      <c r="D35" s="66">
        <v>45894</v>
      </c>
      <c r="E35" s="66">
        <v>45921</v>
      </c>
      <c r="F35" s="67">
        <f t="shared" si="0"/>
        <v>26</v>
      </c>
      <c r="G35" s="121">
        <v>0</v>
      </c>
      <c r="H35" s="139"/>
      <c r="I35" s="140"/>
      <c r="J35" s="123"/>
      <c r="K35" s="123"/>
      <c r="L35" s="123"/>
      <c r="M35" s="148"/>
      <c r="N35" s="148"/>
      <c r="O35" s="148"/>
      <c r="P35" s="148"/>
      <c r="Q35" s="148"/>
      <c r="R35" s="137"/>
      <c r="S35" s="137"/>
      <c r="T35" s="137"/>
      <c r="U35" s="137"/>
      <c r="V35" s="137"/>
      <c r="W35" s="148"/>
      <c r="X35" s="148"/>
      <c r="Y35" s="148"/>
      <c r="Z35" s="148"/>
      <c r="AA35" s="148"/>
      <c r="AB35" s="137"/>
      <c r="AC35" s="137"/>
      <c r="AD35" s="137"/>
      <c r="AE35" s="137"/>
      <c r="AF35" s="123"/>
      <c r="AG35" s="181"/>
      <c r="AH35" s="182"/>
      <c r="AI35" s="182"/>
      <c r="AJ35" s="182"/>
      <c r="AK35" s="183"/>
      <c r="AL35" s="123"/>
      <c r="AM35" s="123"/>
      <c r="AN35" s="123"/>
      <c r="AO35" s="123"/>
      <c r="AP35" s="123"/>
      <c r="AQ35" s="128"/>
      <c r="AR35" s="128"/>
      <c r="AS35" s="128"/>
      <c r="AT35" s="128"/>
      <c r="AU35" s="128"/>
      <c r="AV35" s="123"/>
      <c r="AW35" s="123"/>
      <c r="AX35" s="123"/>
      <c r="AY35" s="123"/>
      <c r="AZ35" s="123"/>
      <c r="BA35" s="18"/>
      <c r="BB35" s="18"/>
      <c r="BC35" s="18"/>
      <c r="BD35" s="18"/>
      <c r="BE35" s="18"/>
      <c r="BF35" s="57"/>
      <c r="BG35" s="57"/>
      <c r="BH35" s="57"/>
      <c r="BI35" s="57"/>
      <c r="BJ35" s="57"/>
      <c r="BK35" s="18"/>
      <c r="BL35" s="18"/>
      <c r="BM35" s="18"/>
      <c r="BN35" s="18"/>
      <c r="BO35" s="18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</row>
    <row r="36" spans="1:85" s="70" customFormat="1" ht="15.75" customHeight="1" x14ac:dyDescent="0.15">
      <c r="A36" s="156">
        <v>1.3</v>
      </c>
      <c r="B36" s="193" t="s">
        <v>75</v>
      </c>
      <c r="C36" s="69" t="s">
        <v>32</v>
      </c>
      <c r="D36" s="66">
        <v>45894</v>
      </c>
      <c r="E36" s="66">
        <v>45921</v>
      </c>
      <c r="F36" s="12">
        <f t="shared" si="0"/>
        <v>26</v>
      </c>
      <c r="G36" s="121">
        <v>0</v>
      </c>
      <c r="H36" s="139"/>
      <c r="I36" s="140"/>
      <c r="J36" s="123"/>
      <c r="K36" s="123"/>
      <c r="L36" s="123"/>
      <c r="M36" s="148"/>
      <c r="N36" s="148"/>
      <c r="O36" s="148"/>
      <c r="P36" s="148"/>
      <c r="Q36" s="148"/>
      <c r="R36" s="137"/>
      <c r="S36" s="137"/>
      <c r="T36" s="137"/>
      <c r="U36" s="137"/>
      <c r="V36" s="137"/>
      <c r="W36" s="148"/>
      <c r="X36" s="148"/>
      <c r="Y36" s="148"/>
      <c r="Z36" s="148"/>
      <c r="AA36" s="148"/>
      <c r="AB36" s="137"/>
      <c r="AC36" s="137"/>
      <c r="AD36" s="137"/>
      <c r="AE36" s="137"/>
      <c r="AF36" s="123"/>
      <c r="AG36" s="128"/>
      <c r="AH36" s="128"/>
      <c r="AI36" s="128"/>
      <c r="AJ36" s="128"/>
      <c r="AK36" s="128"/>
      <c r="AL36" s="181"/>
      <c r="AM36" s="182"/>
      <c r="AN36" s="182"/>
      <c r="AO36" s="182"/>
      <c r="AP36" s="183"/>
      <c r="AQ36" s="128"/>
      <c r="AR36" s="128"/>
      <c r="AS36" s="128"/>
      <c r="AT36" s="128"/>
      <c r="AU36" s="128"/>
      <c r="AV36" s="123"/>
      <c r="AW36" s="123"/>
      <c r="AX36" s="123"/>
      <c r="AY36" s="123"/>
      <c r="AZ36" s="123"/>
      <c r="BA36" s="18"/>
      <c r="BB36" s="18"/>
      <c r="BC36" s="18"/>
      <c r="BD36" s="18"/>
      <c r="BE36" s="18"/>
      <c r="BF36" s="57"/>
      <c r="BG36" s="57"/>
      <c r="BH36" s="57"/>
      <c r="BI36" s="57"/>
      <c r="BJ36" s="57"/>
      <c r="BK36" s="18"/>
      <c r="BL36" s="18"/>
      <c r="BM36" s="18"/>
      <c r="BN36" s="18"/>
      <c r="BO36" s="18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</row>
    <row r="37" spans="1:85" s="70" customFormat="1" ht="15.75" customHeight="1" x14ac:dyDescent="0.15">
      <c r="A37" s="156">
        <v>1.4</v>
      </c>
      <c r="B37" s="193" t="s">
        <v>60</v>
      </c>
      <c r="C37" s="69" t="s">
        <v>39</v>
      </c>
      <c r="D37" s="66">
        <v>45894</v>
      </c>
      <c r="E37" s="66">
        <v>45921</v>
      </c>
      <c r="F37" s="122">
        <f t="shared" si="0"/>
        <v>26</v>
      </c>
      <c r="G37" s="121">
        <v>0</v>
      </c>
      <c r="H37" s="139"/>
      <c r="I37" s="140"/>
      <c r="J37" s="123"/>
      <c r="K37" s="123"/>
      <c r="L37" s="123"/>
      <c r="M37" s="148"/>
      <c r="N37" s="148"/>
      <c r="O37" s="148"/>
      <c r="P37" s="148"/>
      <c r="Q37" s="148"/>
      <c r="R37" s="137"/>
      <c r="S37" s="137"/>
      <c r="T37" s="137"/>
      <c r="U37" s="137"/>
      <c r="V37" s="137"/>
      <c r="W37" s="148"/>
      <c r="X37" s="148"/>
      <c r="Y37" s="148"/>
      <c r="Z37" s="148"/>
      <c r="AA37" s="148"/>
      <c r="AB37" s="181"/>
      <c r="AC37" s="182"/>
      <c r="AD37" s="182"/>
      <c r="AE37" s="182"/>
      <c r="AF37" s="183"/>
      <c r="AG37" s="128"/>
      <c r="AH37" s="128"/>
      <c r="AI37" s="128"/>
      <c r="AJ37" s="128"/>
      <c r="AK37" s="128"/>
      <c r="AL37" s="123"/>
      <c r="AM37" s="123"/>
      <c r="AN37" s="123"/>
      <c r="AO37" s="123"/>
      <c r="AP37" s="123"/>
      <c r="AQ37" s="128"/>
      <c r="AR37" s="128"/>
      <c r="AS37" s="128"/>
      <c r="AT37" s="128"/>
      <c r="AU37" s="128"/>
      <c r="AV37" s="123"/>
      <c r="AW37" s="123"/>
      <c r="AX37" s="123"/>
      <c r="AY37" s="123"/>
      <c r="AZ37" s="123"/>
      <c r="BA37" s="18"/>
      <c r="BB37" s="18"/>
      <c r="BC37" s="18"/>
      <c r="BD37" s="18"/>
      <c r="BE37" s="18"/>
      <c r="BF37" s="57"/>
      <c r="BG37" s="57"/>
      <c r="BH37" s="57"/>
      <c r="BI37" s="57"/>
      <c r="BJ37" s="57"/>
      <c r="BK37" s="18"/>
      <c r="BL37" s="18"/>
      <c r="BM37" s="18"/>
      <c r="BN37" s="18"/>
      <c r="BO37" s="18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</row>
    <row r="38" spans="1:85" s="70" customFormat="1" ht="15.75" customHeight="1" x14ac:dyDescent="0.15">
      <c r="A38" s="156">
        <v>1.5</v>
      </c>
      <c r="B38" s="193" t="s">
        <v>61</v>
      </c>
      <c r="C38" s="69" t="s">
        <v>39</v>
      </c>
      <c r="D38" s="66">
        <v>45894</v>
      </c>
      <c r="E38" s="66">
        <v>45921</v>
      </c>
      <c r="F38" s="67">
        <f t="shared" si="0"/>
        <v>26</v>
      </c>
      <c r="G38" s="121">
        <v>0</v>
      </c>
      <c r="H38" s="68"/>
      <c r="I38" s="143"/>
      <c r="J38" s="57"/>
      <c r="K38" s="57"/>
      <c r="L38" s="57"/>
      <c r="M38" s="15"/>
      <c r="N38" s="15"/>
      <c r="O38" s="15"/>
      <c r="P38" s="15"/>
      <c r="Q38" s="15"/>
      <c r="R38" s="57"/>
      <c r="S38" s="57"/>
      <c r="T38" s="57"/>
      <c r="U38" s="57"/>
      <c r="V38" s="57"/>
      <c r="W38" s="15"/>
      <c r="X38" s="15"/>
      <c r="Y38" s="15"/>
      <c r="Z38" s="15"/>
      <c r="AA38" s="15"/>
      <c r="AB38" s="57"/>
      <c r="AC38" s="57"/>
      <c r="AD38" s="57"/>
      <c r="AE38" s="57"/>
      <c r="AF38" s="57"/>
      <c r="AG38" s="181"/>
      <c r="AH38" s="182"/>
      <c r="AI38" s="182"/>
      <c r="AJ38" s="182"/>
      <c r="AK38" s="183"/>
      <c r="AL38" s="57"/>
      <c r="AM38" s="57"/>
      <c r="AN38" s="57"/>
      <c r="AO38" s="57"/>
      <c r="AP38" s="57"/>
      <c r="AQ38" s="128"/>
      <c r="AR38" s="128"/>
      <c r="AS38" s="128"/>
      <c r="AT38" s="128"/>
      <c r="AU38" s="128"/>
      <c r="AV38" s="57"/>
      <c r="AW38" s="57"/>
      <c r="AX38" s="57"/>
      <c r="AY38" s="57"/>
      <c r="AZ38" s="57"/>
      <c r="BA38" s="18"/>
      <c r="BB38" s="18"/>
      <c r="BC38" s="18"/>
      <c r="BD38" s="18"/>
      <c r="BE38" s="18"/>
      <c r="BF38" s="57"/>
      <c r="BG38" s="57"/>
      <c r="BH38" s="57"/>
      <c r="BI38" s="57"/>
      <c r="BJ38" s="57"/>
      <c r="BK38" s="18"/>
      <c r="BL38" s="18"/>
      <c r="BM38" s="18"/>
      <c r="BN38" s="18"/>
      <c r="BO38" s="18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</row>
    <row r="39" spans="1:85" s="70" customFormat="1" ht="14" x14ac:dyDescent="0.15">
      <c r="A39" s="156">
        <v>1.6</v>
      </c>
      <c r="B39" s="193" t="s">
        <v>62</v>
      </c>
      <c r="C39" s="69" t="s">
        <v>39</v>
      </c>
      <c r="D39" s="66">
        <v>45894</v>
      </c>
      <c r="E39" s="66">
        <v>45921</v>
      </c>
      <c r="F39" s="12">
        <f t="shared" si="0"/>
        <v>26</v>
      </c>
      <c r="G39" s="121">
        <v>0</v>
      </c>
      <c r="H39" s="57"/>
      <c r="I39" s="143"/>
      <c r="J39" s="147"/>
      <c r="K39" s="147"/>
      <c r="L39" s="57"/>
      <c r="M39" s="15"/>
      <c r="N39" s="15"/>
      <c r="O39" s="15"/>
      <c r="P39" s="15"/>
      <c r="Q39" s="15"/>
      <c r="R39" s="57"/>
      <c r="S39" s="57"/>
      <c r="T39" s="57"/>
      <c r="U39" s="57"/>
      <c r="V39" s="57"/>
      <c r="W39" s="15"/>
      <c r="X39" s="15"/>
      <c r="Y39" s="15"/>
      <c r="Z39" s="15"/>
      <c r="AA39" s="15"/>
      <c r="AB39" s="57"/>
      <c r="AC39" s="57"/>
      <c r="AD39" s="57"/>
      <c r="AE39" s="57"/>
      <c r="AF39" s="57"/>
      <c r="AG39" s="128"/>
      <c r="AH39" s="128"/>
      <c r="AI39" s="128"/>
      <c r="AJ39" s="128"/>
      <c r="AK39" s="128"/>
      <c r="AL39" s="181"/>
      <c r="AM39" s="182"/>
      <c r="AN39" s="182"/>
      <c r="AO39" s="182"/>
      <c r="AP39" s="183"/>
      <c r="AQ39" s="128"/>
      <c r="AR39" s="128"/>
      <c r="AS39" s="128"/>
      <c r="AT39" s="128"/>
      <c r="AU39" s="128"/>
      <c r="AV39" s="57"/>
      <c r="AW39" s="57"/>
      <c r="AX39" s="57"/>
      <c r="AY39" s="57"/>
      <c r="AZ39" s="57"/>
      <c r="BA39" s="18"/>
      <c r="BB39" s="18"/>
      <c r="BC39" s="18"/>
      <c r="BD39" s="18"/>
      <c r="BE39" s="18"/>
      <c r="BF39" s="57"/>
      <c r="BG39" s="57"/>
      <c r="BH39" s="57"/>
      <c r="BI39" s="57"/>
      <c r="BJ39" s="57"/>
      <c r="BK39" s="18"/>
      <c r="BL39" s="18"/>
      <c r="BM39" s="18"/>
      <c r="BN39" s="18"/>
      <c r="BO39" s="18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</row>
    <row r="40" spans="1:85" s="70" customFormat="1" ht="14" x14ac:dyDescent="0.15">
      <c r="A40" s="156">
        <v>1.7</v>
      </c>
      <c r="B40" s="193" t="s">
        <v>63</v>
      </c>
      <c r="C40" s="151" t="s">
        <v>30</v>
      </c>
      <c r="D40" s="66">
        <v>45894</v>
      </c>
      <c r="E40" s="66">
        <v>45921</v>
      </c>
      <c r="F40" s="122">
        <f t="shared" si="0"/>
        <v>26</v>
      </c>
      <c r="G40" s="121">
        <v>0</v>
      </c>
      <c r="H40" s="135"/>
      <c r="I40" s="136"/>
      <c r="J40" s="137"/>
      <c r="K40" s="137"/>
      <c r="L40" s="137"/>
      <c r="M40" s="149"/>
      <c r="N40" s="149"/>
      <c r="O40" s="149"/>
      <c r="P40" s="149"/>
      <c r="Q40" s="149"/>
      <c r="R40" s="57"/>
      <c r="S40" s="137"/>
      <c r="T40" s="137"/>
      <c r="U40" s="137"/>
      <c r="V40" s="137"/>
      <c r="W40" s="148"/>
      <c r="X40" s="149"/>
      <c r="Y40" s="149"/>
      <c r="Z40" s="149"/>
      <c r="AA40" s="149"/>
      <c r="AB40" s="181"/>
      <c r="AC40" s="182"/>
      <c r="AD40" s="182"/>
      <c r="AE40" s="182"/>
      <c r="AF40" s="183"/>
      <c r="AG40" s="128"/>
      <c r="AH40" s="128"/>
      <c r="AI40" s="128"/>
      <c r="AJ40" s="128"/>
      <c r="AK40" s="128"/>
      <c r="AL40" s="137"/>
      <c r="AM40" s="137"/>
      <c r="AN40" s="137"/>
      <c r="AO40" s="137"/>
      <c r="AP40" s="137"/>
      <c r="AQ40" s="128"/>
      <c r="AR40" s="128"/>
      <c r="AS40" s="128"/>
      <c r="AT40" s="128"/>
      <c r="AU40" s="128"/>
      <c r="AV40" s="137"/>
      <c r="AW40" s="137"/>
      <c r="AX40" s="137"/>
      <c r="AY40" s="137"/>
      <c r="AZ40" s="137"/>
      <c r="BA40" s="18"/>
      <c r="BB40" s="18"/>
      <c r="BC40" s="18"/>
      <c r="BD40" s="18"/>
      <c r="BE40" s="18"/>
      <c r="BF40" s="137"/>
      <c r="BG40" s="137"/>
      <c r="BH40" s="137"/>
      <c r="BI40" s="137"/>
      <c r="BJ40" s="137"/>
      <c r="BK40" s="18"/>
      <c r="BL40" s="18"/>
      <c r="BM40" s="18"/>
      <c r="BN40" s="18"/>
      <c r="BO40" s="18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</row>
    <row r="41" spans="1:85" s="70" customFormat="1" ht="13" x14ac:dyDescent="0.15">
      <c r="A41" s="156">
        <v>1.8</v>
      </c>
      <c r="B41" s="196" t="s">
        <v>64</v>
      </c>
      <c r="C41" s="155" t="s">
        <v>30</v>
      </c>
      <c r="D41" s="66">
        <v>45894</v>
      </c>
      <c r="E41" s="66">
        <v>45921</v>
      </c>
      <c r="F41" s="67">
        <f t="shared" si="0"/>
        <v>26</v>
      </c>
      <c r="G41" s="121">
        <v>0</v>
      </c>
      <c r="H41" s="139"/>
      <c r="I41" s="140"/>
      <c r="J41" s="123"/>
      <c r="K41" s="123"/>
      <c r="L41" s="123"/>
      <c r="M41" s="149"/>
      <c r="N41" s="149"/>
      <c r="O41" s="149"/>
      <c r="P41" s="149"/>
      <c r="Q41" s="149"/>
      <c r="R41" s="137"/>
      <c r="S41" s="57"/>
      <c r="T41" s="137"/>
      <c r="U41" s="137"/>
      <c r="V41" s="137"/>
      <c r="W41" s="148"/>
      <c r="X41" s="148"/>
      <c r="Y41" s="148"/>
      <c r="Z41" s="148"/>
      <c r="AA41" s="148"/>
      <c r="AB41" s="123"/>
      <c r="AC41" s="123"/>
      <c r="AD41" s="123"/>
      <c r="AE41" s="123"/>
      <c r="AF41" s="123"/>
      <c r="AG41" s="181"/>
      <c r="AH41" s="182"/>
      <c r="AI41" s="182"/>
      <c r="AJ41" s="182"/>
      <c r="AK41" s="183"/>
      <c r="AL41" s="123"/>
      <c r="AM41" s="123"/>
      <c r="AN41" s="123"/>
      <c r="AO41" s="123"/>
      <c r="AP41" s="123"/>
      <c r="AQ41" s="128"/>
      <c r="AR41" s="128"/>
      <c r="AS41" s="128"/>
      <c r="AT41" s="128"/>
      <c r="AU41" s="128"/>
      <c r="AV41" s="123"/>
      <c r="AW41" s="123"/>
      <c r="AX41" s="123"/>
      <c r="AY41" s="123"/>
      <c r="AZ41" s="123"/>
      <c r="BA41" s="18"/>
      <c r="BB41" s="18"/>
      <c r="BC41" s="18"/>
      <c r="BD41" s="18"/>
      <c r="BE41" s="18"/>
      <c r="BF41" s="123"/>
      <c r="BG41" s="123"/>
      <c r="BH41" s="123"/>
      <c r="BI41" s="123"/>
      <c r="BJ41" s="123"/>
      <c r="BK41" s="18"/>
      <c r="BL41" s="18"/>
      <c r="BM41" s="18"/>
      <c r="BN41" s="18"/>
      <c r="BO41" s="18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</row>
    <row r="42" spans="1:85" s="70" customFormat="1" ht="13" x14ac:dyDescent="0.15">
      <c r="A42" s="194">
        <v>1.9</v>
      </c>
      <c r="B42" s="196" t="s">
        <v>65</v>
      </c>
      <c r="C42" s="155" t="s">
        <v>30</v>
      </c>
      <c r="D42" s="66">
        <v>45894</v>
      </c>
      <c r="E42" s="66">
        <v>45921</v>
      </c>
      <c r="F42" s="12">
        <f t="shared" si="0"/>
        <v>26</v>
      </c>
      <c r="G42" s="121">
        <v>0</v>
      </c>
      <c r="H42" s="139"/>
      <c r="I42" s="140"/>
      <c r="J42" s="123"/>
      <c r="K42" s="123"/>
      <c r="L42" s="123"/>
      <c r="M42" s="149"/>
      <c r="N42" s="149"/>
      <c r="O42" s="149"/>
      <c r="P42" s="149"/>
      <c r="Q42" s="149"/>
      <c r="R42" s="137"/>
      <c r="S42" s="137"/>
      <c r="T42" s="57"/>
      <c r="U42" s="57"/>
      <c r="V42" s="57"/>
      <c r="W42" s="15"/>
      <c r="X42" s="15"/>
      <c r="Y42" s="15"/>
      <c r="Z42" s="15"/>
      <c r="AA42" s="15"/>
      <c r="AB42" s="123"/>
      <c r="AC42" s="123"/>
      <c r="AD42" s="123"/>
      <c r="AE42" s="123"/>
      <c r="AF42" s="123"/>
      <c r="AG42" s="128"/>
      <c r="AH42" s="128"/>
      <c r="AI42" s="128"/>
      <c r="AJ42" s="128"/>
      <c r="AK42" s="128"/>
      <c r="AL42" s="181"/>
      <c r="AM42" s="182"/>
      <c r="AN42" s="182"/>
      <c r="AO42" s="182"/>
      <c r="AP42" s="183"/>
      <c r="AQ42" s="128"/>
      <c r="AR42" s="128"/>
      <c r="AS42" s="128"/>
      <c r="AT42" s="128"/>
      <c r="AU42" s="128"/>
      <c r="AV42" s="123"/>
      <c r="AW42" s="123"/>
      <c r="AX42" s="123"/>
      <c r="AY42" s="123"/>
      <c r="AZ42" s="123"/>
      <c r="BA42" s="18"/>
      <c r="BB42" s="18"/>
      <c r="BC42" s="18"/>
      <c r="BD42" s="18"/>
      <c r="BE42" s="18"/>
      <c r="BF42" s="123"/>
      <c r="BG42" s="123"/>
      <c r="BH42" s="123"/>
      <c r="BI42" s="123"/>
      <c r="BJ42" s="123"/>
      <c r="BK42" s="18"/>
      <c r="BL42" s="18"/>
      <c r="BM42" s="18"/>
      <c r="BN42" s="18"/>
      <c r="BO42" s="18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</row>
    <row r="43" spans="1:85" s="70" customFormat="1" ht="13" x14ac:dyDescent="0.15">
      <c r="A43" s="195">
        <v>1.1100000000000001</v>
      </c>
      <c r="B43" s="196" t="s">
        <v>66</v>
      </c>
      <c r="C43" s="155" t="s">
        <v>34</v>
      </c>
      <c r="D43" s="66">
        <v>45894</v>
      </c>
      <c r="E43" s="66">
        <v>45921</v>
      </c>
      <c r="F43" s="122">
        <f t="shared" si="0"/>
        <v>26</v>
      </c>
      <c r="G43" s="121">
        <v>0</v>
      </c>
      <c r="H43" s="139"/>
      <c r="I43" s="140"/>
      <c r="J43" s="123"/>
      <c r="K43" s="123"/>
      <c r="L43" s="123"/>
      <c r="M43" s="149"/>
      <c r="N43" s="149"/>
      <c r="O43" s="149"/>
      <c r="P43" s="149"/>
      <c r="Q43" s="149"/>
      <c r="R43" s="137"/>
      <c r="S43" s="137"/>
      <c r="T43" s="57"/>
      <c r="U43" s="57"/>
      <c r="V43" s="57"/>
      <c r="W43" s="15"/>
      <c r="X43" s="15"/>
      <c r="Y43" s="15"/>
      <c r="Z43" s="179"/>
      <c r="AA43" s="179"/>
      <c r="AB43" s="123"/>
      <c r="AC43" s="123"/>
      <c r="AD43" s="123"/>
      <c r="AE43" s="123"/>
      <c r="AF43" s="123"/>
      <c r="AG43" s="128"/>
      <c r="AH43" s="128"/>
      <c r="AI43" s="128"/>
      <c r="AJ43" s="128"/>
      <c r="AK43" s="128"/>
      <c r="AL43" s="123"/>
      <c r="AM43" s="123"/>
      <c r="AN43" s="123"/>
      <c r="AO43" s="123"/>
      <c r="AP43" s="123"/>
      <c r="AQ43" s="128"/>
      <c r="AR43" s="128"/>
      <c r="AS43" s="128"/>
      <c r="AT43" s="128"/>
      <c r="AU43" s="128"/>
      <c r="AV43" s="123"/>
      <c r="AW43" s="123"/>
      <c r="AX43" s="123"/>
      <c r="AY43" s="123"/>
      <c r="AZ43" s="123"/>
      <c r="BA43" s="18"/>
      <c r="BB43" s="18"/>
      <c r="BC43" s="18"/>
      <c r="BD43" s="18"/>
      <c r="BE43" s="18"/>
      <c r="BF43" s="123"/>
      <c r="BG43" s="123"/>
      <c r="BH43" s="123"/>
      <c r="BI43" s="123"/>
      <c r="BJ43" s="123"/>
      <c r="BK43" s="18"/>
      <c r="BL43" s="18"/>
      <c r="BM43" s="18"/>
      <c r="BN43" s="18"/>
      <c r="BO43" s="18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</row>
    <row r="44" spans="1:85" s="70" customFormat="1" ht="15.75" customHeight="1" x14ac:dyDescent="0.15">
      <c r="A44" s="195">
        <v>1.1200000000000001</v>
      </c>
      <c r="B44" s="197" t="s">
        <v>67</v>
      </c>
      <c r="C44" s="155" t="s">
        <v>34</v>
      </c>
      <c r="D44" s="66">
        <v>45894</v>
      </c>
      <c r="E44" s="66">
        <v>45921</v>
      </c>
      <c r="F44" s="67">
        <f t="shared" si="0"/>
        <v>26</v>
      </c>
      <c r="G44" s="121">
        <v>0</v>
      </c>
      <c r="H44" s="135"/>
      <c r="I44" s="136"/>
      <c r="J44" s="137"/>
      <c r="K44" s="137"/>
      <c r="L44" s="137"/>
      <c r="M44" s="149"/>
      <c r="N44" s="149"/>
      <c r="O44" s="149"/>
      <c r="P44" s="149"/>
      <c r="Q44" s="149"/>
      <c r="R44" s="137"/>
      <c r="S44" s="137"/>
      <c r="T44" s="137"/>
      <c r="U44" s="137"/>
      <c r="V44" s="137"/>
      <c r="W44" s="148"/>
      <c r="X44" s="148"/>
      <c r="Y44" s="148"/>
      <c r="Z44" s="148"/>
      <c r="AA44" s="148"/>
      <c r="AB44" s="181"/>
      <c r="AC44" s="182"/>
      <c r="AD44" s="182"/>
      <c r="AE44" s="182"/>
      <c r="AF44" s="183"/>
      <c r="AG44" s="128"/>
      <c r="AH44" s="128"/>
      <c r="AI44" s="128"/>
      <c r="AJ44" s="128"/>
      <c r="AK44" s="128"/>
      <c r="AL44" s="137"/>
      <c r="AM44" s="137"/>
      <c r="AN44" s="137"/>
      <c r="AO44" s="137"/>
      <c r="AP44" s="137"/>
      <c r="AQ44" s="128"/>
      <c r="AR44" s="128"/>
      <c r="AS44" s="128"/>
      <c r="AT44" s="128"/>
      <c r="AU44" s="128"/>
      <c r="AV44" s="137"/>
      <c r="AW44" s="137"/>
      <c r="AX44" s="137"/>
      <c r="AY44" s="137"/>
      <c r="AZ44" s="137"/>
      <c r="BA44" s="18"/>
      <c r="BB44" s="18"/>
      <c r="BC44" s="18"/>
      <c r="BD44" s="18"/>
      <c r="BE44" s="18"/>
      <c r="BF44" s="137"/>
      <c r="BG44" s="137"/>
      <c r="BH44" s="137"/>
      <c r="BI44" s="137"/>
      <c r="BJ44" s="137"/>
      <c r="BK44" s="18"/>
      <c r="BL44" s="18"/>
      <c r="BM44" s="18"/>
      <c r="BN44" s="18"/>
      <c r="BO44" s="18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</row>
    <row r="45" spans="1:85" s="70" customFormat="1" ht="15.75" customHeight="1" x14ac:dyDescent="0.15">
      <c r="A45" s="195">
        <v>1.1299999999999999</v>
      </c>
      <c r="B45" s="156" t="s">
        <v>68</v>
      </c>
      <c r="C45" s="155" t="s">
        <v>34</v>
      </c>
      <c r="D45" s="66">
        <v>45894</v>
      </c>
      <c r="E45" s="66">
        <v>45921</v>
      </c>
      <c r="F45" s="12">
        <f t="shared" si="0"/>
        <v>26</v>
      </c>
      <c r="G45" s="121">
        <v>0</v>
      </c>
      <c r="H45" s="68"/>
      <c r="I45" s="143"/>
      <c r="J45" s="57"/>
      <c r="K45" s="57"/>
      <c r="L45" s="57"/>
      <c r="M45" s="15"/>
      <c r="N45" s="15"/>
      <c r="O45" s="15"/>
      <c r="P45" s="15"/>
      <c r="Q45" s="15"/>
      <c r="R45" s="57"/>
      <c r="S45" s="57"/>
      <c r="T45" s="57"/>
      <c r="U45" s="57"/>
      <c r="V45" s="57"/>
      <c r="W45" s="15"/>
      <c r="X45" s="15"/>
      <c r="Y45" s="15"/>
      <c r="Z45" s="15"/>
      <c r="AA45" s="15"/>
      <c r="AB45" s="57"/>
      <c r="AC45" s="57"/>
      <c r="AD45" s="57"/>
      <c r="AE45" s="57"/>
      <c r="AF45" s="57"/>
      <c r="AG45" s="181"/>
      <c r="AH45" s="182"/>
      <c r="AI45" s="182"/>
      <c r="AJ45" s="182"/>
      <c r="AK45" s="183"/>
      <c r="AL45" s="137"/>
      <c r="AM45" s="137"/>
      <c r="AN45" s="137"/>
      <c r="AO45" s="137"/>
      <c r="AP45" s="137"/>
      <c r="AQ45" s="128"/>
      <c r="AR45" s="128"/>
      <c r="AS45" s="128"/>
      <c r="AT45" s="128"/>
      <c r="AU45" s="128"/>
      <c r="AV45" s="57"/>
      <c r="AW45" s="57"/>
      <c r="AX45" s="57"/>
      <c r="AY45" s="57"/>
      <c r="AZ45" s="57"/>
      <c r="BA45" s="18"/>
      <c r="BB45" s="18"/>
      <c r="BC45" s="18"/>
      <c r="BD45" s="18"/>
      <c r="BE45" s="18"/>
      <c r="BF45" s="137"/>
      <c r="BG45" s="137"/>
      <c r="BH45" s="137"/>
      <c r="BI45" s="137"/>
      <c r="BJ45" s="137"/>
      <c r="BK45" s="18"/>
      <c r="BL45" s="18"/>
      <c r="BM45" s="18"/>
      <c r="BN45" s="18"/>
      <c r="BO45" s="18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</row>
    <row r="46" spans="1:85" s="70" customFormat="1" ht="13" x14ac:dyDescent="0.15">
      <c r="A46" s="163">
        <v>1.1399999999999999</v>
      </c>
      <c r="B46" s="162" t="s">
        <v>69</v>
      </c>
      <c r="C46" s="155" t="s">
        <v>34</v>
      </c>
      <c r="D46" s="66">
        <v>45894</v>
      </c>
      <c r="E46" s="66">
        <v>45921</v>
      </c>
      <c r="F46" s="122">
        <f t="shared" si="0"/>
        <v>26</v>
      </c>
      <c r="G46" s="121">
        <v>0</v>
      </c>
      <c r="H46" s="57"/>
      <c r="I46" s="143"/>
      <c r="J46" s="147"/>
      <c r="K46" s="147"/>
      <c r="L46" s="57"/>
      <c r="M46" s="15"/>
      <c r="N46" s="15"/>
      <c r="O46" s="15"/>
      <c r="P46" s="15"/>
      <c r="Q46" s="15"/>
      <c r="R46" s="57"/>
      <c r="S46" s="57"/>
      <c r="T46" s="57"/>
      <c r="U46" s="57"/>
      <c r="V46" s="57"/>
      <c r="W46" s="15"/>
      <c r="X46" s="15"/>
      <c r="Y46" s="15"/>
      <c r="Z46" s="15"/>
      <c r="AA46" s="15"/>
      <c r="AB46" s="57"/>
      <c r="AC46" s="57"/>
      <c r="AD46" s="57"/>
      <c r="AE46" s="57"/>
      <c r="AF46" s="57"/>
      <c r="AG46" s="128"/>
      <c r="AH46" s="128"/>
      <c r="AI46" s="128"/>
      <c r="AJ46" s="128"/>
      <c r="AK46" s="128"/>
      <c r="AL46" s="181"/>
      <c r="AM46" s="182"/>
      <c r="AN46" s="182"/>
      <c r="AO46" s="182"/>
      <c r="AP46" s="183"/>
      <c r="AQ46" s="128"/>
      <c r="AR46" s="128"/>
      <c r="AS46" s="128"/>
      <c r="AT46" s="128"/>
      <c r="AU46" s="128"/>
      <c r="AV46" s="57"/>
      <c r="AW46" s="57"/>
      <c r="AX46" s="57"/>
      <c r="AY46" s="57"/>
      <c r="AZ46" s="57"/>
      <c r="BA46" s="18"/>
      <c r="BB46" s="18"/>
      <c r="BC46" s="18"/>
      <c r="BD46" s="18"/>
      <c r="BE46" s="18"/>
      <c r="BF46" s="57"/>
      <c r="BG46" s="57"/>
      <c r="BH46" s="57"/>
      <c r="BI46" s="57"/>
      <c r="BJ46" s="57"/>
      <c r="BK46" s="18"/>
      <c r="BL46" s="18"/>
      <c r="BM46" s="18"/>
      <c r="BN46" s="18"/>
      <c r="BO46" s="18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</row>
    <row r="47" spans="1:85" s="70" customFormat="1" ht="13" x14ac:dyDescent="0.15">
      <c r="A47" s="163">
        <v>1.1499999999999999</v>
      </c>
      <c r="B47" s="162" t="s">
        <v>56</v>
      </c>
      <c r="C47" s="155" t="s">
        <v>29</v>
      </c>
      <c r="D47" s="66">
        <v>45894</v>
      </c>
      <c r="E47" s="66">
        <v>45921</v>
      </c>
      <c r="F47" s="122">
        <f t="shared" ref="F47" si="1">DAYS360(D47,E47)</f>
        <v>26</v>
      </c>
      <c r="G47" s="121">
        <v>0</v>
      </c>
      <c r="H47" s="57"/>
      <c r="I47" s="143"/>
      <c r="J47" s="147"/>
      <c r="K47" s="147"/>
      <c r="L47" s="57"/>
      <c r="M47" s="15"/>
      <c r="N47" s="15"/>
      <c r="O47" s="15"/>
      <c r="P47" s="15"/>
      <c r="Q47" s="15"/>
      <c r="R47" s="57"/>
      <c r="S47" s="57"/>
      <c r="T47" s="57"/>
      <c r="U47" s="57"/>
      <c r="V47" s="57"/>
      <c r="W47" s="15"/>
      <c r="X47" s="15"/>
      <c r="Y47" s="15"/>
      <c r="Z47" s="15"/>
      <c r="AA47" s="15"/>
      <c r="AB47" s="57"/>
      <c r="AC47" s="57"/>
      <c r="AD47" s="57"/>
      <c r="AE47" s="179"/>
      <c r="AF47" s="57"/>
      <c r="AG47" s="128"/>
      <c r="AH47" s="128"/>
      <c r="AI47" s="128"/>
      <c r="AJ47" s="180"/>
      <c r="AK47" s="128"/>
      <c r="AL47" s="191"/>
      <c r="AM47" s="124"/>
      <c r="AN47" s="124"/>
      <c r="AO47" s="190"/>
      <c r="AP47" s="192"/>
      <c r="AQ47" s="128"/>
      <c r="AR47" s="128"/>
      <c r="AS47" s="128"/>
      <c r="AT47" s="180"/>
      <c r="AU47" s="128"/>
      <c r="AV47" s="57"/>
      <c r="AW47" s="57"/>
      <c r="AX47" s="57"/>
      <c r="AY47" s="57"/>
      <c r="AZ47" s="57"/>
      <c r="BA47" s="18"/>
      <c r="BB47" s="18"/>
      <c r="BC47" s="18"/>
      <c r="BD47" s="18"/>
      <c r="BE47" s="18"/>
      <c r="BF47" s="57"/>
      <c r="BG47" s="57"/>
      <c r="BH47" s="57"/>
      <c r="BI47" s="57"/>
      <c r="BJ47" s="57"/>
      <c r="BK47" s="18"/>
      <c r="BL47" s="18"/>
      <c r="BM47" s="18"/>
      <c r="BN47" s="18"/>
      <c r="BO47" s="18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</row>
    <row r="48" spans="1:85" s="85" customFormat="1" ht="15.75" customHeight="1" x14ac:dyDescent="0.15">
      <c r="A48" s="164">
        <v>2</v>
      </c>
      <c r="B48" s="164" t="s">
        <v>70</v>
      </c>
      <c r="C48" s="165" t="s">
        <v>29</v>
      </c>
      <c r="D48" s="166">
        <v>45901</v>
      </c>
      <c r="E48" s="166">
        <v>45908</v>
      </c>
      <c r="F48" s="87">
        <f t="shared" si="0"/>
        <v>7</v>
      </c>
      <c r="G48" s="26">
        <v>0</v>
      </c>
      <c r="H48" s="167"/>
      <c r="I48" s="168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70"/>
      <c r="AH48" s="170"/>
      <c r="AI48" s="170"/>
      <c r="AJ48" s="170"/>
      <c r="AK48" s="170"/>
      <c r="AL48" s="169"/>
      <c r="AM48" s="169"/>
      <c r="AN48" s="169"/>
      <c r="AO48" s="169"/>
      <c r="AP48" s="169"/>
      <c r="AQ48" s="170"/>
      <c r="AR48" s="170"/>
      <c r="AS48" s="170"/>
      <c r="AT48" s="170"/>
      <c r="AU48" s="170"/>
      <c r="AV48" s="169"/>
      <c r="AW48" s="169"/>
      <c r="AX48" s="169"/>
      <c r="AY48" s="169"/>
      <c r="AZ48" s="169"/>
      <c r="BA48" s="171"/>
      <c r="BB48" s="171"/>
      <c r="BC48" s="171"/>
      <c r="BD48" s="171"/>
      <c r="BE48" s="171"/>
      <c r="BF48" s="169"/>
      <c r="BG48" s="169"/>
      <c r="BH48" s="169"/>
      <c r="BI48" s="169"/>
      <c r="BJ48" s="169"/>
      <c r="BK48" s="171"/>
      <c r="BL48" s="171"/>
      <c r="BM48" s="171"/>
      <c r="BN48" s="171"/>
      <c r="BO48" s="171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</row>
    <row r="49" spans="1:85" s="70" customFormat="1" ht="15.75" customHeight="1" x14ac:dyDescent="0.15">
      <c r="A49" s="150">
        <v>2.1</v>
      </c>
      <c r="B49" s="150" t="s">
        <v>71</v>
      </c>
      <c r="C49" s="151" t="s">
        <v>29</v>
      </c>
      <c r="D49" s="152">
        <v>45901</v>
      </c>
      <c r="E49" s="152">
        <v>45908</v>
      </c>
      <c r="F49" s="12">
        <f t="shared" si="0"/>
        <v>7</v>
      </c>
      <c r="G49" s="121">
        <v>0</v>
      </c>
      <c r="H49" s="139"/>
      <c r="I49" s="140"/>
      <c r="J49" s="123"/>
      <c r="K49" s="123"/>
      <c r="L49" s="123"/>
      <c r="M49" s="149"/>
      <c r="N49" s="149"/>
      <c r="O49" s="149"/>
      <c r="P49" s="149"/>
      <c r="Q49" s="149"/>
      <c r="R49" s="123"/>
      <c r="S49" s="123"/>
      <c r="T49" s="123"/>
      <c r="U49" s="123"/>
      <c r="V49" s="123"/>
      <c r="W49" s="148"/>
      <c r="X49" s="148"/>
      <c r="Y49" s="148"/>
      <c r="Z49" s="148"/>
      <c r="AA49" s="148"/>
      <c r="AB49" s="123"/>
      <c r="AC49" s="123"/>
      <c r="AD49" s="123"/>
      <c r="AE49" s="123"/>
      <c r="AF49" s="123"/>
      <c r="AG49" s="184"/>
      <c r="AH49" s="185"/>
      <c r="AI49" s="185"/>
      <c r="AJ49" s="185"/>
      <c r="AK49" s="186"/>
      <c r="AL49" s="137"/>
      <c r="AM49" s="123"/>
      <c r="AN49" s="123"/>
      <c r="AO49" s="123"/>
      <c r="AP49" s="123"/>
      <c r="AQ49" s="128"/>
      <c r="AR49" s="128"/>
      <c r="AS49" s="128"/>
      <c r="AT49" s="128"/>
      <c r="AU49" s="128"/>
      <c r="AV49" s="123"/>
      <c r="AW49" s="123"/>
      <c r="AX49" s="123"/>
      <c r="AY49" s="123"/>
      <c r="AZ49" s="123"/>
      <c r="BA49" s="18"/>
      <c r="BB49" s="18"/>
      <c r="BC49" s="18"/>
      <c r="BD49" s="18"/>
      <c r="BE49" s="18"/>
      <c r="BF49" s="123"/>
      <c r="BG49" s="123"/>
      <c r="BH49" s="123"/>
      <c r="BI49" s="123"/>
      <c r="BJ49" s="123"/>
      <c r="BK49" s="18"/>
      <c r="BL49" s="18"/>
      <c r="BM49" s="18"/>
      <c r="BN49" s="18"/>
      <c r="BO49" s="18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</row>
    <row r="50" spans="1:85" s="70" customFormat="1" ht="15.75" customHeight="1" x14ac:dyDescent="0.15">
      <c r="A50" s="150">
        <v>2.2000000000000002</v>
      </c>
      <c r="B50" s="158" t="s">
        <v>72</v>
      </c>
      <c r="C50" s="151" t="s">
        <v>29</v>
      </c>
      <c r="D50" s="152">
        <v>45907</v>
      </c>
      <c r="E50" s="152">
        <v>45908</v>
      </c>
      <c r="F50" s="122">
        <f t="shared" si="0"/>
        <v>1</v>
      </c>
      <c r="G50" s="121">
        <v>0</v>
      </c>
      <c r="H50" s="139"/>
      <c r="I50" s="140"/>
      <c r="J50" s="123"/>
      <c r="K50" s="123"/>
      <c r="L50" s="123"/>
      <c r="M50" s="149"/>
      <c r="N50" s="149"/>
      <c r="O50" s="149"/>
      <c r="P50" s="149"/>
      <c r="Q50" s="149"/>
      <c r="R50" s="123"/>
      <c r="S50" s="123"/>
      <c r="T50" s="123"/>
      <c r="U50" s="123"/>
      <c r="V50" s="123"/>
      <c r="W50" s="148"/>
      <c r="X50" s="148"/>
      <c r="Y50" s="148"/>
      <c r="Z50" s="148"/>
      <c r="AA50" s="148"/>
      <c r="AB50" s="123"/>
      <c r="AC50" s="123"/>
      <c r="AD50" s="123"/>
      <c r="AE50" s="123"/>
      <c r="AF50" s="123"/>
      <c r="AG50" s="128"/>
      <c r="AH50" s="128"/>
      <c r="AI50" s="128"/>
      <c r="AJ50" s="128"/>
      <c r="AK50" s="128"/>
      <c r="AL50" s="180"/>
      <c r="AM50" s="137"/>
      <c r="AN50" s="123"/>
      <c r="AO50" s="123"/>
      <c r="AP50" s="123"/>
      <c r="AQ50" s="128"/>
      <c r="AR50" s="128"/>
      <c r="AS50" s="128"/>
      <c r="AT50" s="128"/>
      <c r="AU50" s="128"/>
      <c r="AV50" s="123"/>
      <c r="AW50" s="123"/>
      <c r="AX50" s="123"/>
      <c r="AY50" s="123"/>
      <c r="AZ50" s="123"/>
      <c r="BA50" s="18"/>
      <c r="BB50" s="18"/>
      <c r="BC50" s="18"/>
      <c r="BD50" s="18"/>
      <c r="BE50" s="18"/>
      <c r="BF50" s="123"/>
      <c r="BG50" s="123"/>
      <c r="BH50" s="123"/>
      <c r="BI50" s="123"/>
      <c r="BJ50" s="123"/>
      <c r="BK50" s="18"/>
      <c r="BL50" s="18"/>
      <c r="BM50" s="18"/>
      <c r="BN50" s="18"/>
      <c r="BO50" s="18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</row>
    <row r="51" spans="1:85" s="85" customFormat="1" ht="15.75" customHeight="1" x14ac:dyDescent="0.15">
      <c r="A51" s="164">
        <v>3</v>
      </c>
      <c r="B51" s="164" t="s">
        <v>73</v>
      </c>
      <c r="C51" s="165" t="s">
        <v>29</v>
      </c>
      <c r="D51" s="166">
        <v>45901</v>
      </c>
      <c r="E51" s="166">
        <v>45915</v>
      </c>
      <c r="F51" s="87">
        <f t="shared" si="0"/>
        <v>14</v>
      </c>
      <c r="G51" s="26">
        <v>0</v>
      </c>
      <c r="H51" s="172"/>
      <c r="I51" s="173"/>
      <c r="J51" s="170"/>
      <c r="K51" s="170"/>
      <c r="L51" s="170"/>
      <c r="M51" s="169"/>
      <c r="N51" s="169"/>
      <c r="O51" s="169"/>
      <c r="P51" s="169"/>
      <c r="Q51" s="169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69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1"/>
      <c r="BB51" s="171"/>
      <c r="BC51" s="171"/>
      <c r="BD51" s="171"/>
      <c r="BE51" s="171"/>
      <c r="BF51" s="170"/>
      <c r="BG51" s="170"/>
      <c r="BH51" s="170"/>
      <c r="BI51" s="170"/>
      <c r="BJ51" s="170"/>
      <c r="BK51" s="171"/>
      <c r="BL51" s="171"/>
      <c r="BM51" s="171"/>
      <c r="BN51" s="171"/>
      <c r="BO51" s="171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</row>
    <row r="52" spans="1:85" s="70" customFormat="1" ht="15.75" customHeight="1" x14ac:dyDescent="0.15">
      <c r="A52" s="150">
        <v>3.1</v>
      </c>
      <c r="B52" s="158" t="s">
        <v>74</v>
      </c>
      <c r="C52" s="151" t="s">
        <v>29</v>
      </c>
      <c r="D52" s="152">
        <v>45901</v>
      </c>
      <c r="E52" s="152">
        <v>45915</v>
      </c>
      <c r="F52" s="12">
        <f t="shared" si="0"/>
        <v>14</v>
      </c>
      <c r="G52" s="121">
        <v>0</v>
      </c>
      <c r="H52" s="135"/>
      <c r="I52" s="136"/>
      <c r="J52" s="137"/>
      <c r="K52" s="137"/>
      <c r="L52" s="137"/>
      <c r="M52" s="149"/>
      <c r="N52" s="149"/>
      <c r="O52" s="149"/>
      <c r="P52" s="149"/>
      <c r="Q52" s="149"/>
      <c r="R52" s="137"/>
      <c r="S52" s="137"/>
      <c r="T52" s="137"/>
      <c r="U52" s="137"/>
      <c r="V52" s="137"/>
      <c r="W52" s="149"/>
      <c r="X52" s="149"/>
      <c r="Y52" s="149"/>
      <c r="Z52" s="149"/>
      <c r="AA52" s="149"/>
      <c r="AB52" s="137"/>
      <c r="AC52" s="137"/>
      <c r="AD52" s="137"/>
      <c r="AE52" s="137"/>
      <c r="AF52" s="137"/>
      <c r="AG52" s="187"/>
      <c r="AH52" s="188"/>
      <c r="AI52" s="188"/>
      <c r="AJ52" s="188"/>
      <c r="AK52" s="188"/>
      <c r="AL52" s="188"/>
      <c r="AM52" s="188"/>
      <c r="AN52" s="188"/>
      <c r="AO52" s="188"/>
      <c r="AP52" s="189"/>
      <c r="AQ52" s="128"/>
      <c r="AR52" s="128"/>
      <c r="AS52" s="128"/>
      <c r="AT52" s="128"/>
      <c r="AU52" s="128"/>
      <c r="AV52" s="137"/>
      <c r="AW52" s="137"/>
      <c r="AX52" s="137"/>
      <c r="AY52" s="137"/>
      <c r="AZ52" s="137"/>
      <c r="BA52" s="18"/>
      <c r="BB52" s="18"/>
      <c r="BC52" s="18"/>
      <c r="BD52" s="18"/>
      <c r="BE52" s="18"/>
      <c r="BF52" s="137"/>
      <c r="BG52" s="137"/>
      <c r="BH52" s="137"/>
      <c r="BI52" s="137"/>
      <c r="BJ52" s="137"/>
      <c r="BK52" s="18"/>
      <c r="BL52" s="18"/>
      <c r="BM52" s="18"/>
      <c r="BN52" s="18"/>
      <c r="BO52" s="18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</row>
    <row r="53" spans="1:85" s="70" customFormat="1" ht="15.75" customHeight="1" x14ac:dyDescent="0.15">
      <c r="A53" s="150"/>
      <c r="B53" s="150"/>
      <c r="C53" s="151"/>
      <c r="D53" s="152"/>
      <c r="E53" s="152"/>
      <c r="F53" s="153"/>
      <c r="G53" s="153"/>
      <c r="H53" s="135"/>
      <c r="I53" s="136"/>
      <c r="J53" s="137"/>
      <c r="K53" s="137"/>
      <c r="L53" s="137"/>
      <c r="M53" s="149"/>
      <c r="N53" s="149"/>
      <c r="O53" s="149"/>
      <c r="P53" s="149"/>
      <c r="Q53" s="149"/>
      <c r="R53" s="137"/>
      <c r="S53" s="137"/>
      <c r="T53" s="137"/>
      <c r="U53" s="137"/>
      <c r="V53" s="137"/>
      <c r="W53" s="149"/>
      <c r="X53" s="149"/>
      <c r="Y53" s="149"/>
      <c r="Z53" s="149"/>
      <c r="AA53" s="149"/>
      <c r="AB53" s="137"/>
      <c r="AC53" s="137"/>
      <c r="AD53" s="137"/>
      <c r="AE53" s="137"/>
      <c r="AF53" s="137"/>
      <c r="AG53" s="128"/>
      <c r="AH53" s="128"/>
      <c r="AI53" s="128"/>
      <c r="AJ53" s="128"/>
      <c r="AK53" s="128"/>
      <c r="AL53" s="123"/>
      <c r="AM53" s="123"/>
      <c r="AN53" s="123"/>
      <c r="AO53" s="123"/>
      <c r="AP53" s="137"/>
      <c r="AQ53" s="128"/>
      <c r="AR53" s="128"/>
      <c r="AS53" s="128"/>
      <c r="AT53" s="128"/>
      <c r="AU53" s="128"/>
      <c r="AV53" s="137"/>
      <c r="AW53" s="137"/>
      <c r="AX53" s="137"/>
      <c r="AY53" s="137"/>
      <c r="AZ53" s="137"/>
      <c r="BA53" s="18"/>
      <c r="BB53" s="18"/>
      <c r="BC53" s="18"/>
      <c r="BD53" s="18"/>
      <c r="BE53" s="18"/>
      <c r="BF53" s="137"/>
      <c r="BG53" s="137"/>
      <c r="BH53" s="137"/>
      <c r="BI53" s="137"/>
      <c r="BJ53" s="137"/>
      <c r="BK53" s="18"/>
      <c r="BL53" s="18"/>
      <c r="BM53" s="18"/>
      <c r="BN53" s="18"/>
      <c r="BO53" s="18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</row>
    <row r="54" spans="1:85" s="70" customFormat="1" ht="13" x14ac:dyDescent="0.15">
      <c r="A54" s="161"/>
      <c r="B54" s="162"/>
      <c r="C54" s="157"/>
      <c r="D54" s="157"/>
      <c r="E54" s="157"/>
      <c r="F54" s="157"/>
      <c r="G54" s="157"/>
      <c r="H54" s="57"/>
      <c r="I54" s="143"/>
      <c r="J54" s="147"/>
      <c r="K54" s="147"/>
      <c r="L54" s="57"/>
      <c r="M54" s="15"/>
      <c r="N54" s="15"/>
      <c r="O54" s="15"/>
      <c r="P54" s="15"/>
      <c r="Q54" s="15"/>
      <c r="R54" s="57"/>
      <c r="S54" s="57"/>
      <c r="T54" s="57"/>
      <c r="U54" s="57"/>
      <c r="V54" s="57"/>
      <c r="W54" s="15"/>
      <c r="X54" s="15"/>
      <c r="Y54" s="15"/>
      <c r="Z54" s="15"/>
      <c r="AA54" s="15"/>
      <c r="AB54" s="57"/>
      <c r="AC54" s="57"/>
      <c r="AD54" s="57"/>
      <c r="AE54" s="57"/>
      <c r="AF54" s="57"/>
      <c r="AG54" s="128"/>
      <c r="AH54" s="128"/>
      <c r="AI54" s="128"/>
      <c r="AJ54" s="128"/>
      <c r="AK54" s="128"/>
      <c r="AL54" s="57"/>
      <c r="AM54" s="57"/>
      <c r="AN54" s="57"/>
      <c r="AO54" s="57"/>
      <c r="AP54" s="57"/>
      <c r="AQ54" s="128"/>
      <c r="AR54" s="128"/>
      <c r="AS54" s="128"/>
      <c r="AT54" s="128"/>
      <c r="AU54" s="128"/>
      <c r="AV54" s="57"/>
      <c r="AW54" s="57"/>
      <c r="AX54" s="57"/>
      <c r="AY54" s="57"/>
      <c r="AZ54" s="57"/>
      <c r="BA54" s="18"/>
      <c r="BB54" s="18"/>
      <c r="BC54" s="18"/>
      <c r="BD54" s="18"/>
      <c r="BE54" s="18"/>
      <c r="BF54" s="57"/>
      <c r="BG54" s="57"/>
      <c r="BH54" s="57"/>
      <c r="BI54" s="57"/>
      <c r="BJ54" s="57"/>
      <c r="BK54" s="18"/>
      <c r="BL54" s="18"/>
      <c r="BM54" s="18"/>
      <c r="BN54" s="18"/>
      <c r="BO54" s="18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</row>
    <row r="55" spans="1:85" s="70" customFormat="1" ht="15.75" customHeight="1" x14ac:dyDescent="0.15">
      <c r="A55" s="150"/>
      <c r="B55" s="150"/>
      <c r="C55" s="151"/>
      <c r="D55" s="152"/>
      <c r="E55" s="152"/>
      <c r="F55" s="153"/>
      <c r="G55" s="154"/>
      <c r="H55" s="135"/>
      <c r="I55" s="136"/>
      <c r="J55" s="137"/>
      <c r="K55" s="137"/>
      <c r="L55" s="137"/>
      <c r="M55" s="149"/>
      <c r="N55" s="149"/>
      <c r="O55" s="149"/>
      <c r="P55" s="149"/>
      <c r="Q55" s="149"/>
      <c r="R55" s="137"/>
      <c r="S55" s="137"/>
      <c r="T55" s="137"/>
      <c r="U55" s="137"/>
      <c r="V55" s="137"/>
      <c r="W55" s="149"/>
      <c r="X55" s="149"/>
      <c r="Y55" s="149"/>
      <c r="Z55" s="149"/>
      <c r="AA55" s="149"/>
      <c r="AB55" s="137"/>
      <c r="AC55" s="137"/>
      <c r="AD55" s="137"/>
      <c r="AE55" s="137"/>
      <c r="AF55" s="137"/>
      <c r="AG55" s="128"/>
      <c r="AH55" s="128"/>
      <c r="AI55" s="128"/>
      <c r="AJ55" s="128"/>
      <c r="AK55" s="128"/>
      <c r="AL55" s="137"/>
      <c r="AM55" s="137"/>
      <c r="AN55" s="137"/>
      <c r="AO55" s="137"/>
      <c r="AP55" s="137"/>
      <c r="AQ55" s="128"/>
      <c r="AR55" s="128"/>
      <c r="AS55" s="128"/>
      <c r="AT55" s="128"/>
      <c r="AU55" s="128"/>
      <c r="AV55" s="137"/>
      <c r="AW55" s="137"/>
      <c r="AX55" s="137"/>
      <c r="AY55" s="137"/>
      <c r="AZ55" s="137"/>
      <c r="BA55" s="18"/>
      <c r="BB55" s="18"/>
      <c r="BC55" s="18"/>
      <c r="BD55" s="18"/>
      <c r="BE55" s="18"/>
      <c r="BF55" s="137"/>
      <c r="BG55" s="137"/>
      <c r="BH55" s="137"/>
      <c r="BI55" s="137"/>
      <c r="BJ55" s="137"/>
      <c r="BK55" s="18"/>
      <c r="BL55" s="18"/>
      <c r="BM55" s="18"/>
      <c r="BN55" s="18"/>
      <c r="BO55" s="18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</row>
    <row r="56" spans="1:85" s="70" customFormat="1" ht="15.75" customHeight="1" x14ac:dyDescent="0.15">
      <c r="A56" s="150"/>
      <c r="B56" s="150"/>
      <c r="C56" s="151"/>
      <c r="D56" s="152"/>
      <c r="E56" s="152"/>
      <c r="F56" s="153"/>
      <c r="G56" s="154"/>
      <c r="H56" s="139"/>
      <c r="I56" s="140"/>
      <c r="J56" s="123"/>
      <c r="K56" s="123"/>
      <c r="L56" s="123"/>
      <c r="M56" s="149"/>
      <c r="N56" s="149"/>
      <c r="O56" s="149"/>
      <c r="P56" s="149"/>
      <c r="Q56" s="149"/>
      <c r="R56" s="123"/>
      <c r="S56" s="123"/>
      <c r="T56" s="123"/>
      <c r="U56" s="123"/>
      <c r="V56" s="123"/>
      <c r="W56" s="148"/>
      <c r="X56" s="148"/>
      <c r="Y56" s="148"/>
      <c r="Z56" s="148"/>
      <c r="AA56" s="148"/>
      <c r="AB56" s="123"/>
      <c r="AC56" s="123"/>
      <c r="AD56" s="123"/>
      <c r="AE56" s="123"/>
      <c r="AF56" s="123"/>
      <c r="AG56" s="128"/>
      <c r="AH56" s="128"/>
      <c r="AI56" s="128"/>
      <c r="AJ56" s="128"/>
      <c r="AK56" s="128"/>
      <c r="AL56" s="137"/>
      <c r="AM56" s="137"/>
      <c r="AN56" s="123"/>
      <c r="AO56" s="123"/>
      <c r="AP56" s="123"/>
      <c r="AQ56" s="128"/>
      <c r="AR56" s="128"/>
      <c r="AS56" s="128"/>
      <c r="AT56" s="128"/>
      <c r="AU56" s="128"/>
      <c r="AV56" s="123"/>
      <c r="AW56" s="123"/>
      <c r="AX56" s="123"/>
      <c r="AY56" s="123"/>
      <c r="AZ56" s="123"/>
      <c r="BA56" s="18"/>
      <c r="BB56" s="18"/>
      <c r="BC56" s="18"/>
      <c r="BD56" s="18"/>
      <c r="BE56" s="18"/>
      <c r="BF56" s="123"/>
      <c r="BG56" s="123"/>
      <c r="BH56" s="123"/>
      <c r="BI56" s="123"/>
      <c r="BJ56" s="123"/>
      <c r="BK56" s="18"/>
      <c r="BL56" s="18"/>
      <c r="BM56" s="18"/>
      <c r="BN56" s="18"/>
      <c r="BO56" s="18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</row>
    <row r="57" spans="1:85" s="70" customFormat="1" ht="15.75" customHeight="1" x14ac:dyDescent="0.15">
      <c r="A57" s="150"/>
      <c r="B57" s="158"/>
      <c r="C57" s="151"/>
      <c r="D57" s="152"/>
      <c r="E57" s="152"/>
      <c r="F57" s="153"/>
      <c r="G57" s="154"/>
      <c r="H57" s="139"/>
      <c r="I57" s="140"/>
      <c r="J57" s="123"/>
      <c r="K57" s="123"/>
      <c r="L57" s="123"/>
      <c r="M57" s="149"/>
      <c r="N57" s="149"/>
      <c r="O57" s="149"/>
      <c r="P57" s="149"/>
      <c r="Q57" s="149"/>
      <c r="R57" s="123"/>
      <c r="S57" s="123"/>
      <c r="T57" s="123"/>
      <c r="U57" s="123"/>
      <c r="V57" s="123"/>
      <c r="W57" s="148"/>
      <c r="X57" s="148"/>
      <c r="Y57" s="148"/>
      <c r="Z57" s="148"/>
      <c r="AA57" s="148"/>
      <c r="AB57" s="123"/>
      <c r="AC57" s="123"/>
      <c r="AD57" s="123"/>
      <c r="AE57" s="123"/>
      <c r="AF57" s="123"/>
      <c r="AG57" s="128"/>
      <c r="AH57" s="128"/>
      <c r="AI57" s="128"/>
      <c r="AJ57" s="128"/>
      <c r="AK57" s="128"/>
      <c r="AL57" s="123"/>
      <c r="AM57" s="123"/>
      <c r="AN57" s="137"/>
      <c r="AO57" s="137"/>
      <c r="AP57" s="137"/>
      <c r="AQ57" s="128"/>
      <c r="AR57" s="128"/>
      <c r="AS57" s="128"/>
      <c r="AT57" s="128"/>
      <c r="AU57" s="128"/>
      <c r="AV57" s="123"/>
      <c r="AW57" s="123"/>
      <c r="AX57" s="123"/>
      <c r="AY57" s="123"/>
      <c r="AZ57" s="123"/>
      <c r="BA57" s="18"/>
      <c r="BB57" s="18"/>
      <c r="BC57" s="18"/>
      <c r="BD57" s="18"/>
      <c r="BE57" s="18"/>
      <c r="BF57" s="123"/>
      <c r="BG57" s="123"/>
      <c r="BH57" s="123"/>
      <c r="BI57" s="123"/>
      <c r="BJ57" s="123"/>
      <c r="BK57" s="18"/>
      <c r="BL57" s="18"/>
      <c r="BM57" s="18"/>
      <c r="BN57" s="18"/>
      <c r="BO57" s="18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</row>
    <row r="58" spans="1:85" s="70" customFormat="1" ht="15.75" customHeight="1" x14ac:dyDescent="0.15">
      <c r="A58" s="150"/>
      <c r="B58" s="150"/>
      <c r="C58" s="151"/>
      <c r="D58" s="152"/>
      <c r="E58" s="152"/>
      <c r="F58" s="153"/>
      <c r="G58" s="154"/>
      <c r="H58" s="139"/>
      <c r="I58" s="140"/>
      <c r="J58" s="123"/>
      <c r="K58" s="123"/>
      <c r="L58" s="123"/>
      <c r="M58" s="149"/>
      <c r="N58" s="149"/>
      <c r="O58" s="149"/>
      <c r="P58" s="149"/>
      <c r="Q58" s="149"/>
      <c r="R58" s="123"/>
      <c r="S58" s="123"/>
      <c r="T58" s="123"/>
      <c r="U58" s="123"/>
      <c r="V58" s="123"/>
      <c r="W58" s="148"/>
      <c r="X58" s="148"/>
      <c r="Y58" s="148"/>
      <c r="Z58" s="148"/>
      <c r="AA58" s="148"/>
      <c r="AB58" s="123"/>
      <c r="AC58" s="123"/>
      <c r="AD58" s="123"/>
      <c r="AE58" s="123"/>
      <c r="AF58" s="123"/>
      <c r="AG58" s="128"/>
      <c r="AH58" s="128"/>
      <c r="AI58" s="128"/>
      <c r="AJ58" s="128"/>
      <c r="AK58" s="128"/>
      <c r="AL58" s="137"/>
      <c r="AM58" s="137"/>
      <c r="AN58" s="137"/>
      <c r="AO58" s="137"/>
      <c r="AP58" s="137"/>
      <c r="AQ58" s="128"/>
      <c r="AR58" s="128"/>
      <c r="AS58" s="128"/>
      <c r="AT58" s="128"/>
      <c r="AU58" s="128"/>
      <c r="AV58" s="123"/>
      <c r="AW58" s="123"/>
      <c r="AX58" s="123"/>
      <c r="AY58" s="123"/>
      <c r="AZ58" s="123"/>
      <c r="BA58" s="18"/>
      <c r="BB58" s="18"/>
      <c r="BC58" s="18"/>
      <c r="BD58" s="18"/>
      <c r="BE58" s="18"/>
      <c r="BF58" s="123"/>
      <c r="BG58" s="123"/>
      <c r="BH58" s="123"/>
      <c r="BI58" s="123"/>
      <c r="BJ58" s="123"/>
      <c r="BK58" s="18"/>
      <c r="BL58" s="18"/>
      <c r="BM58" s="18"/>
      <c r="BN58" s="18"/>
      <c r="BO58" s="18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</row>
    <row r="59" spans="1:85" s="70" customFormat="1" ht="13" x14ac:dyDescent="0.15">
      <c r="A59" s="150"/>
      <c r="B59" s="158"/>
      <c r="C59" s="151"/>
      <c r="D59" s="152"/>
      <c r="E59" s="152"/>
      <c r="F59" s="153"/>
      <c r="G59" s="154"/>
      <c r="H59" s="135"/>
      <c r="I59" s="136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41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</row>
    <row r="60" spans="1:85" s="70" customFormat="1" ht="13" x14ac:dyDescent="0.15">
      <c r="A60" s="150"/>
      <c r="B60" s="150"/>
      <c r="C60" s="151"/>
      <c r="D60" s="152"/>
      <c r="E60" s="152"/>
      <c r="F60" s="153"/>
      <c r="G60" s="154"/>
      <c r="H60" s="139"/>
      <c r="I60" s="140"/>
      <c r="J60" s="123"/>
      <c r="K60" s="123"/>
      <c r="L60" s="123"/>
      <c r="M60" s="137"/>
      <c r="N60" s="137"/>
      <c r="O60" s="137"/>
      <c r="P60" s="137"/>
      <c r="Q60" s="137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37"/>
      <c r="AH60" s="137"/>
      <c r="AI60" s="137"/>
      <c r="AJ60" s="137"/>
      <c r="AK60" s="137"/>
      <c r="AL60" s="123"/>
      <c r="AM60" s="123"/>
      <c r="AN60" s="123"/>
      <c r="AO60" s="123"/>
      <c r="AP60" s="123"/>
      <c r="AQ60" s="137"/>
      <c r="AR60" s="137"/>
      <c r="BF60" s="123"/>
      <c r="BG60" s="123"/>
      <c r="BH60" s="123"/>
      <c r="BI60" s="123"/>
      <c r="BJ60" s="123"/>
    </row>
    <row r="61" spans="1:85" s="70" customFormat="1" ht="13" x14ac:dyDescent="0.15">
      <c r="A61" s="159"/>
      <c r="B61" s="160"/>
      <c r="C61" s="157"/>
      <c r="D61" s="157"/>
      <c r="E61" s="157"/>
      <c r="F61" s="157"/>
      <c r="G61" s="157"/>
      <c r="H61" s="57"/>
      <c r="I61" s="143"/>
      <c r="J61" s="147"/>
      <c r="K61" s="14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</row>
    <row r="62" spans="1:85" s="70" customFormat="1" ht="13" x14ac:dyDescent="0.15">
      <c r="A62" s="150"/>
      <c r="B62" s="150"/>
      <c r="C62" s="151"/>
      <c r="D62" s="152"/>
      <c r="E62" s="152"/>
      <c r="F62" s="153"/>
      <c r="G62" s="154"/>
      <c r="H62" s="135"/>
      <c r="I62" s="136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23"/>
      <c r="AV62" s="123"/>
      <c r="AW62" s="123"/>
      <c r="AX62" s="123"/>
      <c r="AY62" s="123"/>
      <c r="AZ62" s="137"/>
      <c r="BA62" s="123"/>
      <c r="BB62" s="123"/>
      <c r="BC62" s="123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</row>
    <row r="63" spans="1:85" s="70" customFormat="1" ht="13" x14ac:dyDescent="0.15">
      <c r="A63" s="150"/>
      <c r="B63" s="150"/>
      <c r="C63" s="151"/>
      <c r="D63" s="152"/>
      <c r="E63" s="152"/>
      <c r="F63" s="153"/>
      <c r="G63" s="154"/>
      <c r="H63" s="135"/>
      <c r="I63" s="136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23"/>
      <c r="AV63" s="123"/>
      <c r="AW63" s="123"/>
      <c r="AX63" s="123"/>
      <c r="AY63" s="123"/>
      <c r="AZ63" s="123"/>
      <c r="BA63" s="123"/>
      <c r="BB63" s="123"/>
      <c r="BC63" s="123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8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</row>
    <row r="64" spans="1:85" s="70" customFormat="1" ht="13" x14ac:dyDescent="0.15">
      <c r="A64" s="131"/>
      <c r="B64" s="131"/>
      <c r="C64" s="132"/>
      <c r="D64" s="133"/>
      <c r="E64" s="133"/>
      <c r="F64" s="122"/>
      <c r="G64" s="134"/>
      <c r="H64" s="135"/>
      <c r="I64" s="136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23"/>
      <c r="AV64" s="123"/>
      <c r="AW64" s="123"/>
      <c r="AX64" s="123"/>
      <c r="AY64" s="123"/>
      <c r="AZ64" s="123"/>
      <c r="BA64" s="123"/>
      <c r="BB64" s="123"/>
      <c r="BC64" s="123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</row>
    <row r="65" spans="1:85" s="70" customFormat="1" ht="13" x14ac:dyDescent="0.15">
      <c r="A65" s="131"/>
      <c r="B65" s="131"/>
      <c r="C65" s="132"/>
      <c r="D65" s="133"/>
      <c r="E65" s="133"/>
      <c r="F65" s="122"/>
      <c r="G65" s="134"/>
      <c r="H65" s="135"/>
      <c r="I65" s="136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</row>
    <row r="66" spans="1:85" s="70" customFormat="1" ht="13" x14ac:dyDescent="0.15">
      <c r="A66" s="131"/>
      <c r="B66" s="131"/>
      <c r="C66" s="132"/>
      <c r="D66" s="133"/>
      <c r="E66" s="133"/>
      <c r="F66" s="122"/>
      <c r="G66" s="134"/>
      <c r="H66" s="139"/>
      <c r="I66" s="140"/>
      <c r="J66" s="123"/>
      <c r="K66" s="123"/>
      <c r="L66" s="123"/>
      <c r="M66" s="137"/>
      <c r="N66" s="137"/>
      <c r="O66" s="137"/>
      <c r="P66" s="137"/>
      <c r="Q66" s="137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37"/>
      <c r="BO66" s="13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</row>
    <row r="67" spans="1:85" s="70" customFormat="1" ht="13" x14ac:dyDescent="0.15">
      <c r="A67" s="57"/>
      <c r="B67" s="57"/>
      <c r="C67" s="58"/>
      <c r="D67" s="133"/>
      <c r="E67" s="133"/>
      <c r="F67" s="122"/>
      <c r="G67" s="134"/>
      <c r="H67" s="68"/>
      <c r="I67" s="143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</row>
    <row r="68" spans="1:85" s="70" customFormat="1" ht="14" x14ac:dyDescent="0.2">
      <c r="A68" s="144"/>
      <c r="B68" s="145"/>
      <c r="C68" s="146"/>
      <c r="D68" s="146"/>
      <c r="E68" s="146"/>
      <c r="F68" s="146"/>
      <c r="G68" s="146"/>
      <c r="H68" s="57"/>
      <c r="I68" s="143"/>
      <c r="J68" s="147"/>
      <c r="K68" s="14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</row>
    <row r="69" spans="1:85" s="70" customFormat="1" ht="13" x14ac:dyDescent="0.15">
      <c r="A69" s="131"/>
      <c r="B69" s="142"/>
      <c r="C69" s="132"/>
      <c r="D69" s="133"/>
      <c r="E69" s="133"/>
      <c r="F69" s="122"/>
      <c r="G69" s="134"/>
      <c r="H69" s="135"/>
      <c r="I69" s="136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23"/>
      <c r="BB69" s="123"/>
      <c r="BC69" s="123"/>
      <c r="BD69" s="123"/>
      <c r="BE69" s="123"/>
      <c r="BF69" s="137"/>
      <c r="BG69" s="137"/>
      <c r="BH69" s="137"/>
      <c r="BI69" s="137"/>
      <c r="BJ69" s="137"/>
      <c r="BK69" s="137"/>
      <c r="BL69" s="137"/>
      <c r="BM69" s="137"/>
      <c r="BN69" s="137"/>
      <c r="BO69" s="138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</row>
    <row r="70" spans="1:85" s="70" customFormat="1" ht="13" x14ac:dyDescent="0.15">
      <c r="A70" s="131"/>
      <c r="B70" s="142"/>
      <c r="C70" s="132"/>
      <c r="D70" s="133"/>
      <c r="E70" s="133"/>
      <c r="F70" s="122"/>
      <c r="G70" s="134"/>
      <c r="H70" s="139"/>
      <c r="I70" s="140"/>
      <c r="J70" s="123"/>
      <c r="K70" s="123"/>
      <c r="L70" s="123"/>
      <c r="M70" s="137"/>
      <c r="N70" s="137"/>
      <c r="O70" s="137"/>
      <c r="P70" s="137"/>
      <c r="Q70" s="137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37"/>
      <c r="BL70" s="137"/>
      <c r="BM70" s="123"/>
      <c r="BN70" s="123"/>
      <c r="BO70" s="141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</row>
    <row r="71" spans="1:85" s="70" customFormat="1" ht="13" x14ac:dyDescent="0.15">
      <c r="A71" s="131"/>
      <c r="B71" s="142"/>
      <c r="C71" s="132"/>
      <c r="D71" s="133"/>
      <c r="E71" s="133"/>
      <c r="F71" s="122"/>
      <c r="G71" s="134"/>
      <c r="H71" s="139"/>
      <c r="I71" s="140"/>
      <c r="J71" s="123"/>
      <c r="K71" s="123"/>
      <c r="L71" s="123"/>
      <c r="M71" s="137"/>
      <c r="N71" s="137"/>
      <c r="O71" s="137"/>
      <c r="P71" s="137"/>
      <c r="Q71" s="137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37"/>
      <c r="BM71" s="137"/>
      <c r="BN71" s="123"/>
      <c r="BO71" s="141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</row>
    <row r="72" spans="1:85" s="70" customFormat="1" ht="13" x14ac:dyDescent="0.15">
      <c r="A72" s="131"/>
      <c r="B72" s="142"/>
      <c r="C72" s="132"/>
      <c r="D72" s="133"/>
      <c r="E72" s="133"/>
      <c r="F72" s="122"/>
      <c r="G72" s="134"/>
      <c r="H72" s="139"/>
      <c r="I72" s="140"/>
      <c r="J72" s="123"/>
      <c r="K72" s="123"/>
      <c r="L72" s="123"/>
      <c r="M72" s="137"/>
      <c r="N72" s="137"/>
      <c r="O72" s="137"/>
      <c r="P72" s="137"/>
      <c r="Q72" s="137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37"/>
      <c r="BN72" s="137"/>
      <c r="BO72" s="141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</row>
    <row r="73" spans="1:85" s="70" customFormat="1" ht="13" x14ac:dyDescent="0.15">
      <c r="A73" s="131"/>
      <c r="B73" s="142"/>
      <c r="C73" s="132"/>
      <c r="D73" s="133"/>
      <c r="E73" s="133"/>
      <c r="F73" s="122"/>
      <c r="G73" s="134"/>
      <c r="H73" s="135"/>
      <c r="I73" s="136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37"/>
      <c r="BN73" s="137"/>
      <c r="BO73" s="13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</row>
    <row r="74" spans="1:85" s="70" customFormat="1" ht="13" x14ac:dyDescent="0.15">
      <c r="A74" s="131"/>
      <c r="B74" s="142"/>
      <c r="C74" s="132"/>
      <c r="D74" s="133"/>
      <c r="E74" s="133"/>
      <c r="F74" s="122"/>
      <c r="G74" s="134"/>
      <c r="H74" s="139"/>
      <c r="I74" s="140"/>
      <c r="J74" s="123"/>
      <c r="K74" s="123"/>
      <c r="L74" s="123"/>
      <c r="M74" s="137"/>
      <c r="N74" s="137"/>
      <c r="O74" s="137"/>
      <c r="P74" s="137"/>
      <c r="Q74" s="137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123"/>
      <c r="BM74" s="123"/>
      <c r="BN74" s="123"/>
      <c r="BO74" s="141"/>
      <c r="BP74" s="13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</row>
    <row r="75" spans="1:85" s="70" customFormat="1" ht="13" x14ac:dyDescent="0.15">
      <c r="A75" s="131"/>
      <c r="B75" s="131"/>
      <c r="C75" s="132"/>
      <c r="D75" s="133"/>
      <c r="E75" s="133"/>
      <c r="F75" s="122"/>
      <c r="G75" s="134"/>
      <c r="H75" s="139"/>
      <c r="I75" s="140"/>
      <c r="J75" s="123"/>
      <c r="K75" s="123"/>
      <c r="L75" s="123"/>
      <c r="M75" s="137"/>
      <c r="N75" s="137"/>
      <c r="O75" s="137"/>
      <c r="P75" s="137"/>
      <c r="Q75" s="137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41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</row>
    <row r="76" spans="1:85" s="70" customFormat="1" ht="14" x14ac:dyDescent="0.2">
      <c r="A76" s="144"/>
      <c r="B76" s="145"/>
      <c r="C76" s="146"/>
      <c r="D76" s="146"/>
      <c r="E76" s="146"/>
      <c r="F76" s="146"/>
      <c r="G76" s="146"/>
      <c r="H76" s="57"/>
      <c r="I76" s="143"/>
      <c r="J76" s="147"/>
      <c r="K76" s="14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</row>
    <row r="77" spans="1:85" s="70" customFormat="1" ht="13" x14ac:dyDescent="0.15">
      <c r="A77" s="131"/>
      <c r="B77" s="131"/>
      <c r="C77" s="132"/>
      <c r="D77" s="133"/>
      <c r="E77" s="133"/>
      <c r="F77" s="122"/>
      <c r="G77" s="134"/>
      <c r="H77" s="135"/>
      <c r="I77" s="136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23"/>
      <c r="BB77" s="123"/>
      <c r="BC77" s="123"/>
      <c r="BD77" s="123"/>
      <c r="BE77" s="123"/>
      <c r="BF77" s="137"/>
      <c r="BG77" s="137"/>
      <c r="BH77" s="137"/>
      <c r="BI77" s="137"/>
      <c r="BJ77" s="137"/>
      <c r="BK77" s="137"/>
      <c r="BL77" s="137"/>
      <c r="BM77" s="137"/>
      <c r="BN77" s="137"/>
      <c r="BO77" s="138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</row>
    <row r="78" spans="1:85" s="70" customFormat="1" ht="13" x14ac:dyDescent="0.15">
      <c r="A78" s="131"/>
      <c r="B78" s="142"/>
      <c r="C78" s="132"/>
      <c r="D78" s="133"/>
      <c r="E78" s="133"/>
      <c r="F78" s="122"/>
      <c r="G78" s="134"/>
      <c r="H78" s="139"/>
      <c r="I78" s="140"/>
      <c r="J78" s="123"/>
      <c r="K78" s="123"/>
      <c r="L78" s="123"/>
      <c r="M78" s="137"/>
      <c r="N78" s="137"/>
      <c r="O78" s="137"/>
      <c r="P78" s="137"/>
      <c r="Q78" s="137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41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</row>
    <row r="79" spans="1:85" s="70" customFormat="1" ht="13" x14ac:dyDescent="0.15">
      <c r="A79" s="131"/>
      <c r="B79" s="131"/>
      <c r="C79" s="132"/>
      <c r="D79" s="133"/>
      <c r="E79" s="133"/>
      <c r="F79" s="122"/>
      <c r="G79" s="134"/>
      <c r="H79" s="139"/>
      <c r="I79" s="140"/>
      <c r="J79" s="123"/>
      <c r="K79" s="123"/>
      <c r="L79" s="123"/>
      <c r="M79" s="137"/>
      <c r="N79" s="137"/>
      <c r="O79" s="137"/>
      <c r="P79" s="137"/>
      <c r="Q79" s="137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41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</row>
    <row r="80" spans="1:85" s="70" customFormat="1" ht="13" x14ac:dyDescent="0.15">
      <c r="A80" s="131"/>
      <c r="B80" s="131"/>
      <c r="C80" s="132"/>
      <c r="D80" s="133"/>
      <c r="E80" s="133"/>
      <c r="F80" s="122"/>
      <c r="G80" s="134"/>
      <c r="H80" s="139"/>
      <c r="I80" s="140"/>
      <c r="J80" s="123"/>
      <c r="K80" s="123"/>
      <c r="L80" s="123"/>
      <c r="M80" s="137"/>
      <c r="N80" s="137"/>
      <c r="O80" s="137"/>
      <c r="P80" s="137"/>
      <c r="Q80" s="137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41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</row>
    <row r="81" spans="1:85" s="70" customFormat="1" ht="13" x14ac:dyDescent="0.15">
      <c r="A81" s="131"/>
      <c r="B81" s="131"/>
      <c r="C81" s="132"/>
      <c r="D81" s="133"/>
      <c r="E81" s="133"/>
      <c r="F81" s="122"/>
      <c r="G81" s="134"/>
      <c r="H81" s="135"/>
      <c r="I81" s="136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37"/>
      <c r="BN81" s="137"/>
      <c r="BO81" s="138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</row>
    <row r="82" spans="1:85" ht="13" x14ac:dyDescent="0.15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3" x14ac:dyDescent="0.15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3" x14ac:dyDescent="0.15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3" x14ac:dyDescent="0.15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3" x14ac:dyDescent="0.15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3" x14ac:dyDescent="0.15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3" x14ac:dyDescent="0.15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3" x14ac:dyDescent="0.15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3" x14ac:dyDescent="0.15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3" x14ac:dyDescent="0.15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3" x14ac:dyDescent="0.15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3" x14ac:dyDescent="0.15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3" x14ac:dyDescent="0.15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3" x14ac:dyDescent="0.15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3" x14ac:dyDescent="0.15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3" x14ac:dyDescent="0.15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3" x14ac:dyDescent="0.15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3" x14ac:dyDescent="0.15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3" x14ac:dyDescent="0.15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3" x14ac:dyDescent="0.15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3" x14ac:dyDescent="0.15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3" x14ac:dyDescent="0.15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3" x14ac:dyDescent="0.15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3" x14ac:dyDescent="0.15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3" x14ac:dyDescent="0.15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3" x14ac:dyDescent="0.15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3" x14ac:dyDescent="0.15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3" x14ac:dyDescent="0.15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3" x14ac:dyDescent="0.15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3" x14ac:dyDescent="0.15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3" x14ac:dyDescent="0.15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3" x14ac:dyDescent="0.15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3" x14ac:dyDescent="0.15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3" x14ac:dyDescent="0.15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3" x14ac:dyDescent="0.15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3" x14ac:dyDescent="0.15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3" x14ac:dyDescent="0.15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3" x14ac:dyDescent="0.15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3" x14ac:dyDescent="0.15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3" x14ac:dyDescent="0.15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3" x14ac:dyDescent="0.15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3" x14ac:dyDescent="0.15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3" x14ac:dyDescent="0.15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3" x14ac:dyDescent="0.15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3" x14ac:dyDescent="0.15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3" x14ac:dyDescent="0.15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3" x14ac:dyDescent="0.15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3" x14ac:dyDescent="0.15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3" x14ac:dyDescent="0.15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3" x14ac:dyDescent="0.15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3" x14ac:dyDescent="0.15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3" x14ac:dyDescent="0.15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3" x14ac:dyDescent="0.15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3" x14ac:dyDescent="0.15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3" x14ac:dyDescent="0.15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3" x14ac:dyDescent="0.15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3" x14ac:dyDescent="0.15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3" x14ac:dyDescent="0.15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3" x14ac:dyDescent="0.15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3" x14ac:dyDescent="0.15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3" x14ac:dyDescent="0.15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3" x14ac:dyDescent="0.15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3" x14ac:dyDescent="0.15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3" x14ac:dyDescent="0.15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3" x14ac:dyDescent="0.15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3" x14ac:dyDescent="0.15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3" x14ac:dyDescent="0.15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3" x14ac:dyDescent="0.15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3" x14ac:dyDescent="0.15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3" x14ac:dyDescent="0.15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3" x14ac:dyDescent="0.15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3" x14ac:dyDescent="0.15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3" x14ac:dyDescent="0.15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3" x14ac:dyDescent="0.15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3" x14ac:dyDescent="0.15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3" x14ac:dyDescent="0.15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3" x14ac:dyDescent="0.15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3" x14ac:dyDescent="0.15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3" x14ac:dyDescent="0.15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3" x14ac:dyDescent="0.15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3" x14ac:dyDescent="0.15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3" x14ac:dyDescent="0.15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3" x14ac:dyDescent="0.15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3" x14ac:dyDescent="0.15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3" x14ac:dyDescent="0.15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3" x14ac:dyDescent="0.15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3" x14ac:dyDescent="0.15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3" x14ac:dyDescent="0.15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3" x14ac:dyDescent="0.15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3" x14ac:dyDescent="0.15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3" x14ac:dyDescent="0.15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3" x14ac:dyDescent="0.15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3" x14ac:dyDescent="0.15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3" x14ac:dyDescent="0.15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3" x14ac:dyDescent="0.15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3" x14ac:dyDescent="0.15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3" x14ac:dyDescent="0.15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3" x14ac:dyDescent="0.15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3" x14ac:dyDescent="0.15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3" x14ac:dyDescent="0.15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3" x14ac:dyDescent="0.15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3" x14ac:dyDescent="0.15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3" x14ac:dyDescent="0.15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3" x14ac:dyDescent="0.15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3" x14ac:dyDescent="0.15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3" x14ac:dyDescent="0.15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3" x14ac:dyDescent="0.15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3" x14ac:dyDescent="0.15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3" x14ac:dyDescent="0.15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3" x14ac:dyDescent="0.15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3" x14ac:dyDescent="0.15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3" x14ac:dyDescent="0.15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3" x14ac:dyDescent="0.15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3" x14ac:dyDescent="0.15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3" x14ac:dyDescent="0.15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3" x14ac:dyDescent="0.15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3" x14ac:dyDescent="0.15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3" x14ac:dyDescent="0.15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3" x14ac:dyDescent="0.15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3" x14ac:dyDescent="0.15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3" x14ac:dyDescent="0.15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3" x14ac:dyDescent="0.15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3" x14ac:dyDescent="0.15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3" x14ac:dyDescent="0.15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3" x14ac:dyDescent="0.15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3" x14ac:dyDescent="0.15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3" x14ac:dyDescent="0.15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3" x14ac:dyDescent="0.15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3" x14ac:dyDescent="0.15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3" x14ac:dyDescent="0.15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3" x14ac:dyDescent="0.15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3" x14ac:dyDescent="0.15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3" x14ac:dyDescent="0.15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3" x14ac:dyDescent="0.15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3" x14ac:dyDescent="0.15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3" x14ac:dyDescent="0.15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3" x14ac:dyDescent="0.15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3" x14ac:dyDescent="0.15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3" x14ac:dyDescent="0.15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3" x14ac:dyDescent="0.15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3" x14ac:dyDescent="0.15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3" x14ac:dyDescent="0.15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3" x14ac:dyDescent="0.15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3" x14ac:dyDescent="0.15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3" x14ac:dyDescent="0.15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3" x14ac:dyDescent="0.15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3" x14ac:dyDescent="0.15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3" x14ac:dyDescent="0.15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3" x14ac:dyDescent="0.15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3" x14ac:dyDescent="0.15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3" x14ac:dyDescent="0.15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3" x14ac:dyDescent="0.15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3" x14ac:dyDescent="0.15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3" x14ac:dyDescent="0.15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3" x14ac:dyDescent="0.15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3" x14ac:dyDescent="0.15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3" x14ac:dyDescent="0.15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3" x14ac:dyDescent="0.15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3" x14ac:dyDescent="0.15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3" x14ac:dyDescent="0.15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3" x14ac:dyDescent="0.15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3" x14ac:dyDescent="0.15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3" x14ac:dyDescent="0.15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3" x14ac:dyDescent="0.15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3" x14ac:dyDescent="0.15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3" x14ac:dyDescent="0.15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3" x14ac:dyDescent="0.15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3" x14ac:dyDescent="0.15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3" x14ac:dyDescent="0.15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3" x14ac:dyDescent="0.15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3" x14ac:dyDescent="0.15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3" x14ac:dyDescent="0.15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3" x14ac:dyDescent="0.15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3" x14ac:dyDescent="0.15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3" x14ac:dyDescent="0.15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3" x14ac:dyDescent="0.15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3" x14ac:dyDescent="0.15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3" x14ac:dyDescent="0.15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3" x14ac:dyDescent="0.15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3" x14ac:dyDescent="0.15">
      <c r="A261" s="1"/>
      <c r="B261" s="1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3" x14ac:dyDescent="0.15">
      <c r="A262" s="1"/>
      <c r="B262" s="1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3" x14ac:dyDescent="0.15">
      <c r="A263" s="1"/>
      <c r="B263" s="1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3" x14ac:dyDescent="0.15">
      <c r="A264" s="1"/>
      <c r="B264" s="1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3" x14ac:dyDescent="0.15">
      <c r="A265" s="1"/>
      <c r="B265" s="1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3" x14ac:dyDescent="0.15">
      <c r="A266" s="1"/>
      <c r="B266" s="1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3" x14ac:dyDescent="0.15">
      <c r="A267" s="1"/>
      <c r="B267" s="1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3" x14ac:dyDescent="0.15">
      <c r="A268" s="1"/>
      <c r="B268" s="1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3" x14ac:dyDescent="0.15">
      <c r="A269" s="1"/>
      <c r="B269" s="1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3" x14ac:dyDescent="0.15">
      <c r="A270" s="1"/>
      <c r="B270" s="1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3" x14ac:dyDescent="0.15">
      <c r="A271" s="1"/>
      <c r="B271" s="1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3" x14ac:dyDescent="0.15">
      <c r="A272" s="1"/>
      <c r="B272" s="1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3" x14ac:dyDescent="0.15">
      <c r="A273" s="1"/>
      <c r="B273" s="1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3" x14ac:dyDescent="0.15">
      <c r="A274" s="1"/>
      <c r="B274" s="1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3" x14ac:dyDescent="0.15">
      <c r="A275" s="1"/>
      <c r="B275" s="1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3" x14ac:dyDescent="0.15">
      <c r="A276" s="1"/>
      <c r="B276" s="1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3" x14ac:dyDescent="0.15">
      <c r="A277" s="1"/>
      <c r="B277" s="1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3" x14ac:dyDescent="0.15">
      <c r="A278" s="1"/>
      <c r="B278" s="1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3" x14ac:dyDescent="0.15">
      <c r="A279" s="1"/>
      <c r="B279" s="1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3" x14ac:dyDescent="0.15">
      <c r="A280" s="1"/>
      <c r="B280" s="1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3" x14ac:dyDescent="0.15">
      <c r="A281" s="1"/>
      <c r="B281" s="1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3" x14ac:dyDescent="0.15">
      <c r="A282" s="1"/>
      <c r="B282" s="1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3" x14ac:dyDescent="0.15">
      <c r="A283" s="1"/>
      <c r="B283" s="1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3" x14ac:dyDescent="0.15">
      <c r="A284" s="1"/>
      <c r="B284" s="1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3" x14ac:dyDescent="0.15">
      <c r="A285" s="1"/>
      <c r="B285" s="1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3" x14ac:dyDescent="0.15">
      <c r="A286" s="1"/>
      <c r="B286" s="1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3" x14ac:dyDescent="0.15">
      <c r="A287" s="1"/>
      <c r="B287" s="1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3" x14ac:dyDescent="0.15">
      <c r="A288" s="1"/>
      <c r="B288" s="1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3" x14ac:dyDescent="0.15">
      <c r="A289" s="1"/>
      <c r="B289" s="1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3" x14ac:dyDescent="0.15">
      <c r="A290" s="1"/>
      <c r="B290" s="1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3" x14ac:dyDescent="0.15">
      <c r="A291" s="1"/>
      <c r="B291" s="1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3" x14ac:dyDescent="0.15">
      <c r="A292" s="1"/>
      <c r="B292" s="1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3" x14ac:dyDescent="0.15">
      <c r="A293" s="1"/>
      <c r="B293" s="1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3" x14ac:dyDescent="0.15">
      <c r="A294" s="1"/>
      <c r="B294" s="1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3" x14ac:dyDescent="0.15">
      <c r="A295" s="1"/>
      <c r="B295" s="1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3" x14ac:dyDescent="0.15">
      <c r="A296" s="1"/>
      <c r="B296" s="1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3" x14ac:dyDescent="0.15">
      <c r="A297" s="1"/>
      <c r="B297" s="1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3" x14ac:dyDescent="0.15">
      <c r="A298" s="1"/>
      <c r="B298" s="1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3" x14ac:dyDescent="0.15">
      <c r="A299" s="1"/>
      <c r="B299" s="1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3" x14ac:dyDescent="0.15">
      <c r="A300" s="1"/>
      <c r="B300" s="1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3" x14ac:dyDescent="0.15">
      <c r="A301" s="1"/>
      <c r="B301" s="1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3" x14ac:dyDescent="0.15">
      <c r="A302" s="1"/>
      <c r="B302" s="1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3" x14ac:dyDescent="0.15">
      <c r="A303" s="1"/>
      <c r="B303" s="1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3" x14ac:dyDescent="0.15">
      <c r="A304" s="1"/>
      <c r="B304" s="1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3" x14ac:dyDescent="0.15">
      <c r="A305" s="1"/>
      <c r="B305" s="1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3" x14ac:dyDescent="0.15">
      <c r="A306" s="1"/>
      <c r="B306" s="1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3" x14ac:dyDescent="0.15">
      <c r="A307" s="1"/>
      <c r="B307" s="1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3" x14ac:dyDescent="0.15">
      <c r="A308" s="1"/>
      <c r="B308" s="1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3" x14ac:dyDescent="0.15">
      <c r="A309" s="1"/>
      <c r="B309" s="1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3" x14ac:dyDescent="0.15">
      <c r="A310" s="1"/>
      <c r="B310" s="1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3" x14ac:dyDescent="0.15">
      <c r="A311" s="1"/>
      <c r="B311" s="1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3" x14ac:dyDescent="0.15">
      <c r="A312" s="1"/>
      <c r="B312" s="1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3" x14ac:dyDescent="0.15">
      <c r="A313" s="1"/>
      <c r="B313" s="1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3" x14ac:dyDescent="0.15">
      <c r="A314" s="1"/>
      <c r="B314" s="1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3" x14ac:dyDescent="0.15">
      <c r="A315" s="1"/>
      <c r="B315" s="1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3" x14ac:dyDescent="0.15">
      <c r="A316" s="1"/>
      <c r="B316" s="1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3" x14ac:dyDescent="0.15">
      <c r="A317" s="1"/>
      <c r="B317" s="1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3" x14ac:dyDescent="0.15">
      <c r="A318" s="1"/>
      <c r="B318" s="1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3" x14ac:dyDescent="0.15">
      <c r="A319" s="1"/>
      <c r="B319" s="1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3" x14ac:dyDescent="0.15">
      <c r="A320" s="1"/>
      <c r="B320" s="1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3" x14ac:dyDescent="0.15">
      <c r="A321" s="1"/>
      <c r="B321" s="1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3" x14ac:dyDescent="0.15">
      <c r="A322" s="1"/>
      <c r="B322" s="1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3" x14ac:dyDescent="0.15">
      <c r="A323" s="1"/>
      <c r="B323" s="1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3" x14ac:dyDescent="0.15">
      <c r="A324" s="1"/>
      <c r="B324" s="1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3" x14ac:dyDescent="0.15">
      <c r="A325" s="1"/>
      <c r="B325" s="1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3" x14ac:dyDescent="0.15">
      <c r="A326" s="1"/>
      <c r="B326" s="1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3" x14ac:dyDescent="0.15">
      <c r="A327" s="1"/>
      <c r="B327" s="1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3" x14ac:dyDescent="0.15">
      <c r="A328" s="1"/>
      <c r="B328" s="1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3" x14ac:dyDescent="0.15">
      <c r="A329" s="1"/>
      <c r="B329" s="1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3" x14ac:dyDescent="0.15">
      <c r="A330" s="1"/>
      <c r="B330" s="1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3" x14ac:dyDescent="0.15">
      <c r="A331" s="1"/>
      <c r="B331" s="1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3" x14ac:dyDescent="0.15">
      <c r="A332" s="1"/>
      <c r="B332" s="1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3" x14ac:dyDescent="0.15">
      <c r="A333" s="1"/>
      <c r="B333" s="1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3" x14ac:dyDescent="0.15">
      <c r="A334" s="1"/>
      <c r="B334" s="1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3" x14ac:dyDescent="0.15">
      <c r="A335" s="1"/>
      <c r="B335" s="1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3" x14ac:dyDescent="0.15">
      <c r="A336" s="1"/>
      <c r="B336" s="1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3" x14ac:dyDescent="0.15">
      <c r="A337" s="1"/>
      <c r="B337" s="1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3" x14ac:dyDescent="0.15">
      <c r="A338" s="1"/>
      <c r="B338" s="1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3" x14ac:dyDescent="0.15">
      <c r="A339" s="1"/>
      <c r="B339" s="1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3" x14ac:dyDescent="0.15">
      <c r="A340" s="1"/>
      <c r="B340" s="1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3" x14ac:dyDescent="0.15">
      <c r="A341" s="1"/>
      <c r="B341" s="1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3" x14ac:dyDescent="0.15">
      <c r="A342" s="1"/>
      <c r="B342" s="1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3" x14ac:dyDescent="0.15">
      <c r="A343" s="1"/>
      <c r="B343" s="1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3" x14ac:dyDescent="0.15">
      <c r="A344" s="1"/>
      <c r="B344" s="1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3" x14ac:dyDescent="0.15">
      <c r="A345" s="1"/>
      <c r="B345" s="1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3" x14ac:dyDescent="0.15">
      <c r="A346" s="1"/>
      <c r="B346" s="1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3" x14ac:dyDescent="0.15">
      <c r="A347" s="1"/>
      <c r="B347" s="1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3" x14ac:dyDescent="0.15">
      <c r="A348" s="1"/>
      <c r="B348" s="1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3" x14ac:dyDescent="0.15">
      <c r="A349" s="1"/>
      <c r="B349" s="1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3" x14ac:dyDescent="0.15">
      <c r="A350" s="1"/>
      <c r="B350" s="1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3" x14ac:dyDescent="0.15">
      <c r="A351" s="1"/>
      <c r="B351" s="1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3" x14ac:dyDescent="0.15">
      <c r="A352" s="1"/>
      <c r="B352" s="1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3" x14ac:dyDescent="0.15">
      <c r="A353" s="1"/>
      <c r="B353" s="1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3" x14ac:dyDescent="0.15">
      <c r="A354" s="1"/>
      <c r="B354" s="1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3" x14ac:dyDescent="0.15">
      <c r="A355" s="1"/>
      <c r="B355" s="1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3" x14ac:dyDescent="0.15">
      <c r="A356" s="1"/>
      <c r="B356" s="1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3" x14ac:dyDescent="0.15">
      <c r="A357" s="1"/>
      <c r="B357" s="1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3" x14ac:dyDescent="0.15">
      <c r="A358" s="1"/>
      <c r="B358" s="1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3" x14ac:dyDescent="0.15">
      <c r="A359" s="1"/>
      <c r="B359" s="1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3" x14ac:dyDescent="0.15">
      <c r="A360" s="1"/>
      <c r="B360" s="1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3" x14ac:dyDescent="0.15">
      <c r="A361" s="1"/>
      <c r="B361" s="1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3" x14ac:dyDescent="0.15">
      <c r="A362" s="1"/>
      <c r="B362" s="1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3" x14ac:dyDescent="0.15">
      <c r="A363" s="1"/>
      <c r="B363" s="1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3" x14ac:dyDescent="0.15">
      <c r="A364" s="1"/>
      <c r="B364" s="1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3" x14ac:dyDescent="0.15">
      <c r="A365" s="1"/>
      <c r="B365" s="1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3" x14ac:dyDescent="0.15">
      <c r="A366" s="1"/>
      <c r="B366" s="1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3" x14ac:dyDescent="0.15">
      <c r="A367" s="1"/>
      <c r="B367" s="1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3" x14ac:dyDescent="0.15">
      <c r="A368" s="1"/>
      <c r="B368" s="1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3" x14ac:dyDescent="0.15">
      <c r="A369" s="1"/>
      <c r="B369" s="1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3" x14ac:dyDescent="0.15">
      <c r="A370" s="1"/>
      <c r="B370" s="1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3" x14ac:dyDescent="0.15">
      <c r="A371" s="1"/>
      <c r="B371" s="1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3" x14ac:dyDescent="0.15">
      <c r="A372" s="1"/>
      <c r="B372" s="1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3" x14ac:dyDescent="0.15">
      <c r="A373" s="1"/>
      <c r="B373" s="1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3" x14ac:dyDescent="0.15">
      <c r="A374" s="1"/>
      <c r="B374" s="1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3" x14ac:dyDescent="0.15">
      <c r="A375" s="1"/>
      <c r="B375" s="1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3" x14ac:dyDescent="0.15">
      <c r="A376" s="1"/>
      <c r="B376" s="1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3" x14ac:dyDescent="0.15">
      <c r="A377" s="1"/>
      <c r="B377" s="1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3" x14ac:dyDescent="0.15">
      <c r="A378" s="1"/>
      <c r="B378" s="1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3" x14ac:dyDescent="0.15">
      <c r="A379" s="1"/>
      <c r="B379" s="1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3" x14ac:dyDescent="0.15">
      <c r="A380" s="1"/>
      <c r="B380" s="1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3" x14ac:dyDescent="0.15">
      <c r="A381" s="1"/>
      <c r="B381" s="1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3" x14ac:dyDescent="0.15">
      <c r="A382" s="1"/>
      <c r="B382" s="1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3" x14ac:dyDescent="0.15">
      <c r="A383" s="1"/>
      <c r="B383" s="1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3" x14ac:dyDescent="0.15">
      <c r="A384" s="1"/>
      <c r="B384" s="1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3" x14ac:dyDescent="0.15">
      <c r="A385" s="1"/>
      <c r="B385" s="1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3" x14ac:dyDescent="0.15">
      <c r="A386" s="1"/>
      <c r="B386" s="1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3" x14ac:dyDescent="0.15">
      <c r="A387" s="1"/>
      <c r="B387" s="1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3" x14ac:dyDescent="0.15">
      <c r="A388" s="1"/>
      <c r="B388" s="1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3" x14ac:dyDescent="0.15">
      <c r="A389" s="1"/>
      <c r="B389" s="1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3" x14ac:dyDescent="0.15">
      <c r="A390" s="1"/>
      <c r="B390" s="1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3" x14ac:dyDescent="0.15">
      <c r="A391" s="1"/>
      <c r="B391" s="1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3" x14ac:dyDescent="0.15">
      <c r="A392" s="1"/>
      <c r="B392" s="1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3" x14ac:dyDescent="0.15">
      <c r="A393" s="1"/>
      <c r="B393" s="1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3" x14ac:dyDescent="0.15">
      <c r="A394" s="1"/>
      <c r="B394" s="1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3" x14ac:dyDescent="0.15">
      <c r="A395" s="1"/>
      <c r="B395" s="1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3" x14ac:dyDescent="0.15">
      <c r="A396" s="1"/>
      <c r="B396" s="1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3" x14ac:dyDescent="0.15">
      <c r="A397" s="1"/>
      <c r="B397" s="1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3" x14ac:dyDescent="0.15">
      <c r="A398" s="1"/>
      <c r="B398" s="1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3" x14ac:dyDescent="0.15">
      <c r="A399" s="1"/>
      <c r="B399" s="1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3" x14ac:dyDescent="0.15">
      <c r="A400" s="1"/>
      <c r="B400" s="1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3" x14ac:dyDescent="0.15">
      <c r="A401" s="1"/>
      <c r="B401" s="1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3" x14ac:dyDescent="0.15">
      <c r="A402" s="1"/>
      <c r="B402" s="1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3" x14ac:dyDescent="0.15">
      <c r="A403" s="1"/>
      <c r="B403" s="1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3" x14ac:dyDescent="0.15">
      <c r="A404" s="1"/>
      <c r="B404" s="1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3" x14ac:dyDescent="0.15">
      <c r="A405" s="1"/>
      <c r="B405" s="1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3" x14ac:dyDescent="0.15">
      <c r="A406" s="1"/>
      <c r="B406" s="1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3" x14ac:dyDescent="0.15">
      <c r="A407" s="1"/>
      <c r="B407" s="1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3" x14ac:dyDescent="0.15">
      <c r="A408" s="1"/>
      <c r="B408" s="1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3" x14ac:dyDescent="0.15">
      <c r="A409" s="1"/>
      <c r="B409" s="1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3" x14ac:dyDescent="0.15">
      <c r="A410" s="1"/>
      <c r="B410" s="1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3" x14ac:dyDescent="0.15">
      <c r="A411" s="1"/>
      <c r="B411" s="1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3" x14ac:dyDescent="0.15">
      <c r="A412" s="1"/>
      <c r="B412" s="1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3" x14ac:dyDescent="0.15">
      <c r="A413" s="1"/>
      <c r="B413" s="1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3" x14ac:dyDescent="0.15">
      <c r="A414" s="1"/>
      <c r="B414" s="1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3" x14ac:dyDescent="0.15">
      <c r="A415" s="1"/>
      <c r="B415" s="1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3" x14ac:dyDescent="0.15">
      <c r="A416" s="1"/>
      <c r="B416" s="1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3" x14ac:dyDescent="0.15">
      <c r="A417" s="1"/>
      <c r="B417" s="1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3" x14ac:dyDescent="0.15">
      <c r="A418" s="1"/>
      <c r="B418" s="1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3" x14ac:dyDescent="0.15">
      <c r="A419" s="1"/>
      <c r="B419" s="1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3" x14ac:dyDescent="0.15">
      <c r="A420" s="1"/>
      <c r="B420" s="1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3" x14ac:dyDescent="0.15">
      <c r="A421" s="1"/>
      <c r="B421" s="1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3" x14ac:dyDescent="0.15">
      <c r="A422" s="1"/>
      <c r="B422" s="1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3" x14ac:dyDescent="0.15">
      <c r="A423" s="1"/>
      <c r="B423" s="1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3" x14ac:dyDescent="0.15">
      <c r="A424" s="1"/>
      <c r="B424" s="1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3" x14ac:dyDescent="0.15">
      <c r="A425" s="1"/>
      <c r="B425" s="1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3" x14ac:dyDescent="0.15">
      <c r="A426" s="1"/>
      <c r="B426" s="1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3" x14ac:dyDescent="0.15">
      <c r="A427" s="1"/>
      <c r="B427" s="1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3" x14ac:dyDescent="0.15">
      <c r="A428" s="1"/>
      <c r="B428" s="1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3" x14ac:dyDescent="0.15">
      <c r="A429" s="1"/>
      <c r="B429" s="1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3" x14ac:dyDescent="0.15">
      <c r="A430" s="1"/>
      <c r="B430" s="1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3" x14ac:dyDescent="0.15">
      <c r="A431" s="1"/>
      <c r="B431" s="1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3" x14ac:dyDescent="0.15">
      <c r="A432" s="1"/>
      <c r="B432" s="1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3" x14ac:dyDescent="0.15">
      <c r="A433" s="1"/>
      <c r="B433" s="1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3" x14ac:dyDescent="0.15">
      <c r="A434" s="1"/>
      <c r="B434" s="1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3" x14ac:dyDescent="0.15">
      <c r="A435" s="1"/>
      <c r="B435" s="1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3" x14ac:dyDescent="0.15">
      <c r="A436" s="1"/>
      <c r="B436" s="1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3" x14ac:dyDescent="0.15">
      <c r="A437" s="1"/>
      <c r="B437" s="1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3" x14ac:dyDescent="0.15">
      <c r="A438" s="1"/>
      <c r="B438" s="1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3" x14ac:dyDescent="0.15">
      <c r="A439" s="1"/>
      <c r="B439" s="1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3" x14ac:dyDescent="0.15">
      <c r="A440" s="1"/>
      <c r="B440" s="1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3" x14ac:dyDescent="0.15">
      <c r="A441" s="1"/>
      <c r="B441" s="1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3" x14ac:dyDescent="0.15">
      <c r="A442" s="1"/>
      <c r="B442" s="1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3" x14ac:dyDescent="0.15">
      <c r="A443" s="1"/>
      <c r="B443" s="1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3" x14ac:dyDescent="0.15">
      <c r="A444" s="1"/>
      <c r="B444" s="1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3" x14ac:dyDescent="0.15">
      <c r="A445" s="1"/>
      <c r="B445" s="1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3" x14ac:dyDescent="0.15">
      <c r="A446" s="1"/>
      <c r="B446" s="1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3" x14ac:dyDescent="0.15">
      <c r="A447" s="1"/>
      <c r="B447" s="1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3" x14ac:dyDescent="0.15">
      <c r="A448" s="1"/>
      <c r="B448" s="1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3" x14ac:dyDescent="0.15">
      <c r="A449" s="1"/>
      <c r="B449" s="1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3" x14ac:dyDescent="0.15">
      <c r="A450" s="1"/>
      <c r="B450" s="1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3" x14ac:dyDescent="0.15">
      <c r="A451" s="1"/>
      <c r="B451" s="1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3" x14ac:dyDescent="0.15">
      <c r="A452" s="1"/>
      <c r="B452" s="1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3" x14ac:dyDescent="0.15">
      <c r="A453" s="1"/>
      <c r="B453" s="1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3" x14ac:dyDescent="0.15">
      <c r="A454" s="1"/>
      <c r="B454" s="1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3" x14ac:dyDescent="0.15">
      <c r="A455" s="1"/>
      <c r="B455" s="1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3" x14ac:dyDescent="0.15">
      <c r="A456" s="1"/>
      <c r="B456" s="1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3" x14ac:dyDescent="0.15">
      <c r="A457" s="1"/>
      <c r="B457" s="1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3" x14ac:dyDescent="0.15">
      <c r="A458" s="1"/>
      <c r="B458" s="1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3" x14ac:dyDescent="0.15">
      <c r="A459" s="1"/>
      <c r="B459" s="1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3" x14ac:dyDescent="0.15">
      <c r="A460" s="1"/>
      <c r="B460" s="1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3" x14ac:dyDescent="0.15">
      <c r="A461" s="1"/>
      <c r="B461" s="1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3" x14ac:dyDescent="0.15">
      <c r="A462" s="1"/>
      <c r="B462" s="1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3" x14ac:dyDescent="0.15">
      <c r="A463" s="1"/>
      <c r="B463" s="1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3" x14ac:dyDescent="0.15">
      <c r="A464" s="1"/>
      <c r="B464" s="1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3" x14ac:dyDescent="0.15">
      <c r="A465" s="1"/>
      <c r="B465" s="1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3" x14ac:dyDescent="0.15">
      <c r="A466" s="1"/>
      <c r="B466" s="1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3" x14ac:dyDescent="0.15">
      <c r="A467" s="1"/>
      <c r="B467" s="1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3" x14ac:dyDescent="0.15">
      <c r="A468" s="1"/>
      <c r="B468" s="1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3" x14ac:dyDescent="0.15">
      <c r="A469" s="1"/>
      <c r="B469" s="1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3" x14ac:dyDescent="0.15">
      <c r="A470" s="1"/>
      <c r="B470" s="1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3" x14ac:dyDescent="0.15">
      <c r="A471" s="1"/>
      <c r="B471" s="1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3" x14ac:dyDescent="0.15">
      <c r="A472" s="1"/>
      <c r="B472" s="1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3" x14ac:dyDescent="0.15">
      <c r="A473" s="1"/>
      <c r="B473" s="1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3" x14ac:dyDescent="0.15">
      <c r="A474" s="1"/>
      <c r="B474" s="1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3" x14ac:dyDescent="0.15">
      <c r="A475" s="1"/>
      <c r="B475" s="1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3" x14ac:dyDescent="0.15">
      <c r="A476" s="1"/>
      <c r="B476" s="1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3" x14ac:dyDescent="0.15">
      <c r="A477" s="1"/>
      <c r="B477" s="1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3" x14ac:dyDescent="0.15">
      <c r="A478" s="1"/>
      <c r="B478" s="1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3" x14ac:dyDescent="0.15">
      <c r="A479" s="1"/>
      <c r="B479" s="1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3" x14ac:dyDescent="0.15">
      <c r="A480" s="1"/>
      <c r="B480" s="1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3" x14ac:dyDescent="0.15">
      <c r="A481" s="1"/>
      <c r="B481" s="1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3" x14ac:dyDescent="0.15">
      <c r="A482" s="1"/>
      <c r="B482" s="1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3" x14ac:dyDescent="0.15">
      <c r="A483" s="1"/>
      <c r="B483" s="1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3" x14ac:dyDescent="0.15">
      <c r="A484" s="1"/>
      <c r="B484" s="1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3" x14ac:dyDescent="0.15">
      <c r="A485" s="1"/>
      <c r="B485" s="1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3" x14ac:dyDescent="0.15">
      <c r="A486" s="1"/>
      <c r="B486" s="1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3" x14ac:dyDescent="0.15">
      <c r="A487" s="1"/>
      <c r="B487" s="1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3" x14ac:dyDescent="0.15">
      <c r="A488" s="1"/>
      <c r="B488" s="1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3" x14ac:dyDescent="0.15">
      <c r="A489" s="1"/>
      <c r="B489" s="1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3" x14ac:dyDescent="0.15">
      <c r="A490" s="1"/>
      <c r="B490" s="1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3" x14ac:dyDescent="0.15">
      <c r="A491" s="1"/>
      <c r="B491" s="1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3" x14ac:dyDescent="0.15">
      <c r="A492" s="1"/>
      <c r="B492" s="1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3" x14ac:dyDescent="0.15">
      <c r="A493" s="1"/>
      <c r="B493" s="1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3" x14ac:dyDescent="0.15">
      <c r="A494" s="1"/>
      <c r="B494" s="1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3" x14ac:dyDescent="0.15">
      <c r="A495" s="1"/>
      <c r="B495" s="1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3" x14ac:dyDescent="0.15">
      <c r="A496" s="1"/>
      <c r="B496" s="1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3" x14ac:dyDescent="0.15">
      <c r="A497" s="1"/>
      <c r="B497" s="1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3" x14ac:dyDescent="0.15">
      <c r="A498" s="1"/>
      <c r="B498" s="1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3" x14ac:dyDescent="0.15">
      <c r="A499" s="1"/>
      <c r="B499" s="1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3" x14ac:dyDescent="0.15">
      <c r="A500" s="1"/>
      <c r="B500" s="1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3" x14ac:dyDescent="0.15">
      <c r="A501" s="1"/>
      <c r="B501" s="1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3" x14ac:dyDescent="0.15">
      <c r="A502" s="1"/>
      <c r="B502" s="1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3" x14ac:dyDescent="0.15">
      <c r="A503" s="1"/>
      <c r="B503" s="1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3" x14ac:dyDescent="0.15">
      <c r="A504" s="1"/>
      <c r="B504" s="1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3" x14ac:dyDescent="0.15">
      <c r="A505" s="1"/>
      <c r="B505" s="1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3" x14ac:dyDescent="0.15">
      <c r="A506" s="1"/>
      <c r="B506" s="1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3" x14ac:dyDescent="0.15">
      <c r="A507" s="1"/>
      <c r="B507" s="1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3" x14ac:dyDescent="0.15">
      <c r="A508" s="1"/>
      <c r="B508" s="1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3" x14ac:dyDescent="0.15">
      <c r="A509" s="1"/>
      <c r="B509" s="1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3" x14ac:dyDescent="0.15">
      <c r="A510" s="1"/>
      <c r="B510" s="1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3" x14ac:dyDescent="0.15">
      <c r="A511" s="1"/>
      <c r="B511" s="1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3" x14ac:dyDescent="0.15">
      <c r="A512" s="1"/>
      <c r="B512" s="1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3" x14ac:dyDescent="0.15">
      <c r="A513" s="1"/>
      <c r="B513" s="1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3" x14ac:dyDescent="0.15">
      <c r="A514" s="1"/>
      <c r="B514" s="1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3" x14ac:dyDescent="0.15">
      <c r="A515" s="1"/>
      <c r="B515" s="1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3" x14ac:dyDescent="0.15">
      <c r="A516" s="1"/>
      <c r="B516" s="1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3" x14ac:dyDescent="0.15">
      <c r="A517" s="1"/>
      <c r="B517" s="1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3" x14ac:dyDescent="0.15">
      <c r="A518" s="1"/>
      <c r="B518" s="1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3" x14ac:dyDescent="0.15">
      <c r="A519" s="1"/>
      <c r="B519" s="1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3" x14ac:dyDescent="0.15">
      <c r="A520" s="1"/>
      <c r="B520" s="1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3" x14ac:dyDescent="0.15">
      <c r="A521" s="1"/>
      <c r="B521" s="1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3" x14ac:dyDescent="0.15">
      <c r="A522" s="1"/>
      <c r="B522" s="1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3" x14ac:dyDescent="0.15">
      <c r="A523" s="1"/>
      <c r="B523" s="1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3" x14ac:dyDescent="0.15">
      <c r="A524" s="1"/>
      <c r="B524" s="1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3" x14ac:dyDescent="0.15">
      <c r="A525" s="1"/>
      <c r="B525" s="1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3" x14ac:dyDescent="0.15">
      <c r="A526" s="1"/>
      <c r="B526" s="1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3" x14ac:dyDescent="0.15">
      <c r="A527" s="1"/>
      <c r="B527" s="1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3" x14ac:dyDescent="0.15">
      <c r="A528" s="1"/>
      <c r="B528" s="1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3" x14ac:dyDescent="0.15">
      <c r="A529" s="1"/>
      <c r="B529" s="1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3" x14ac:dyDescent="0.15">
      <c r="A530" s="1"/>
      <c r="B530" s="1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3" x14ac:dyDescent="0.15">
      <c r="A531" s="1"/>
      <c r="B531" s="1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3" x14ac:dyDescent="0.15">
      <c r="A532" s="1"/>
      <c r="B532" s="1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3" x14ac:dyDescent="0.15">
      <c r="A533" s="1"/>
      <c r="B533" s="1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3" x14ac:dyDescent="0.15">
      <c r="A534" s="1"/>
      <c r="B534" s="1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3" x14ac:dyDescent="0.15">
      <c r="A535" s="1"/>
      <c r="B535" s="1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3" x14ac:dyDescent="0.15">
      <c r="A536" s="1"/>
      <c r="B536" s="1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3" x14ac:dyDescent="0.15">
      <c r="A537" s="1"/>
      <c r="B537" s="1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3" x14ac:dyDescent="0.15">
      <c r="A538" s="1"/>
      <c r="B538" s="1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3" x14ac:dyDescent="0.15">
      <c r="A539" s="1"/>
      <c r="B539" s="1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3" x14ac:dyDescent="0.15">
      <c r="A540" s="1"/>
      <c r="B540" s="1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3" x14ac:dyDescent="0.15">
      <c r="A541" s="1"/>
      <c r="B541" s="1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3" x14ac:dyDescent="0.15">
      <c r="A542" s="1"/>
      <c r="B542" s="1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3" x14ac:dyDescent="0.15">
      <c r="A543" s="1"/>
      <c r="B543" s="1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3" x14ac:dyDescent="0.15">
      <c r="A544" s="1"/>
      <c r="B544" s="1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3" x14ac:dyDescent="0.15">
      <c r="A545" s="1"/>
      <c r="B545" s="1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3" x14ac:dyDescent="0.15">
      <c r="A546" s="1"/>
      <c r="B546" s="1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3" x14ac:dyDescent="0.15">
      <c r="A547" s="1"/>
      <c r="B547" s="1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3" x14ac:dyDescent="0.15">
      <c r="A548" s="1"/>
      <c r="B548" s="1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3" x14ac:dyDescent="0.15">
      <c r="A549" s="1"/>
      <c r="B549" s="1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3" x14ac:dyDescent="0.15">
      <c r="A550" s="1"/>
      <c r="B550" s="1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3" x14ac:dyDescent="0.15">
      <c r="A551" s="1"/>
      <c r="B551" s="1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3" x14ac:dyDescent="0.15">
      <c r="A552" s="1"/>
      <c r="B552" s="1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3" x14ac:dyDescent="0.15">
      <c r="A553" s="1"/>
      <c r="B553" s="1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3" x14ac:dyDescent="0.15">
      <c r="A554" s="1"/>
      <c r="B554" s="1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3" x14ac:dyDescent="0.15">
      <c r="A555" s="1"/>
      <c r="B555" s="1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3" x14ac:dyDescent="0.15">
      <c r="A556" s="1"/>
      <c r="B556" s="1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3" x14ac:dyDescent="0.15">
      <c r="A557" s="1"/>
      <c r="B557" s="1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3" x14ac:dyDescent="0.15">
      <c r="A558" s="1"/>
      <c r="B558" s="1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3" x14ac:dyDescent="0.15">
      <c r="A559" s="1"/>
      <c r="B559" s="1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3" x14ac:dyDescent="0.15">
      <c r="A560" s="1"/>
      <c r="B560" s="1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3" x14ac:dyDescent="0.15">
      <c r="A561" s="1"/>
      <c r="B561" s="1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3" x14ac:dyDescent="0.15">
      <c r="A562" s="1"/>
      <c r="B562" s="1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3" x14ac:dyDescent="0.15">
      <c r="A563" s="1"/>
      <c r="B563" s="1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3" x14ac:dyDescent="0.15">
      <c r="A564" s="1"/>
      <c r="B564" s="1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3" x14ac:dyDescent="0.15">
      <c r="A565" s="1"/>
      <c r="B565" s="1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3" x14ac:dyDescent="0.15">
      <c r="A566" s="1"/>
      <c r="B566" s="1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3" x14ac:dyDescent="0.15">
      <c r="A567" s="1"/>
      <c r="B567" s="1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3" x14ac:dyDescent="0.15">
      <c r="A568" s="1"/>
      <c r="B568" s="1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3" x14ac:dyDescent="0.15">
      <c r="A569" s="1"/>
      <c r="B569" s="1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3" x14ac:dyDescent="0.15">
      <c r="A570" s="1"/>
      <c r="B570" s="1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3" x14ac:dyDescent="0.15">
      <c r="A571" s="1"/>
      <c r="B571" s="1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3" x14ac:dyDescent="0.15">
      <c r="A572" s="1"/>
      <c r="B572" s="1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3" x14ac:dyDescent="0.15">
      <c r="A573" s="1"/>
      <c r="B573" s="1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3" x14ac:dyDescent="0.15">
      <c r="A574" s="1"/>
      <c r="B574" s="1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3" x14ac:dyDescent="0.15">
      <c r="A575" s="1"/>
      <c r="B575" s="1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3" x14ac:dyDescent="0.15">
      <c r="A576" s="1"/>
      <c r="B576" s="1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3" x14ac:dyDescent="0.15">
      <c r="A577" s="1"/>
      <c r="B577" s="1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3" x14ac:dyDescent="0.15">
      <c r="A578" s="1"/>
      <c r="B578" s="1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3" x14ac:dyDescent="0.15">
      <c r="A579" s="1"/>
      <c r="B579" s="1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3" x14ac:dyDescent="0.15">
      <c r="A580" s="1"/>
      <c r="B580" s="1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3" x14ac:dyDescent="0.15">
      <c r="A581" s="1"/>
      <c r="B581" s="1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3" x14ac:dyDescent="0.15">
      <c r="A582" s="1"/>
      <c r="B582" s="1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3" x14ac:dyDescent="0.15">
      <c r="A583" s="1"/>
      <c r="B583" s="1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3" x14ac:dyDescent="0.15">
      <c r="A584" s="1"/>
      <c r="B584" s="1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3" x14ac:dyDescent="0.15">
      <c r="A585" s="1"/>
      <c r="B585" s="1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3" x14ac:dyDescent="0.15">
      <c r="A586" s="1"/>
      <c r="B586" s="1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3" x14ac:dyDescent="0.15">
      <c r="A587" s="1"/>
      <c r="B587" s="1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3" x14ac:dyDescent="0.15">
      <c r="A588" s="1"/>
      <c r="B588" s="1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3" x14ac:dyDescent="0.15">
      <c r="A589" s="1"/>
      <c r="B589" s="1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3" x14ac:dyDescent="0.15">
      <c r="A590" s="1"/>
      <c r="B590" s="1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3" x14ac:dyDescent="0.15">
      <c r="A591" s="1"/>
      <c r="B591" s="1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3" x14ac:dyDescent="0.15">
      <c r="A592" s="1"/>
      <c r="B592" s="1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3" x14ac:dyDescent="0.15">
      <c r="A593" s="1"/>
      <c r="B593" s="1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3" x14ac:dyDescent="0.15">
      <c r="A594" s="1"/>
      <c r="B594" s="1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3" x14ac:dyDescent="0.15">
      <c r="A595" s="1"/>
      <c r="B595" s="1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3" x14ac:dyDescent="0.15">
      <c r="A596" s="1"/>
      <c r="B596" s="1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3" x14ac:dyDescent="0.15">
      <c r="A597" s="1"/>
      <c r="B597" s="1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3" x14ac:dyDescent="0.15">
      <c r="A598" s="1"/>
      <c r="B598" s="1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3" x14ac:dyDescent="0.15">
      <c r="A599" s="1"/>
      <c r="B599" s="1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3" x14ac:dyDescent="0.15">
      <c r="A600" s="1"/>
      <c r="B600" s="1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3" x14ac:dyDescent="0.15">
      <c r="A601" s="1"/>
      <c r="B601" s="1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3" x14ac:dyDescent="0.15">
      <c r="A602" s="1"/>
      <c r="B602" s="1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3" x14ac:dyDescent="0.15">
      <c r="A603" s="1"/>
      <c r="B603" s="1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3" x14ac:dyDescent="0.15">
      <c r="A604" s="1"/>
      <c r="B604" s="1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3" x14ac:dyDescent="0.15">
      <c r="A605" s="1"/>
      <c r="B605" s="1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3" x14ac:dyDescent="0.15">
      <c r="A606" s="1"/>
      <c r="B606" s="1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3" x14ac:dyDescent="0.15">
      <c r="A607" s="1"/>
      <c r="B607" s="1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3" x14ac:dyDescent="0.15">
      <c r="A608" s="1"/>
      <c r="B608" s="1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3" x14ac:dyDescent="0.15">
      <c r="A609" s="1"/>
      <c r="B609" s="1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3" x14ac:dyDescent="0.15">
      <c r="A610" s="1"/>
      <c r="B610" s="1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3" x14ac:dyDescent="0.15">
      <c r="A611" s="1"/>
      <c r="B611" s="1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3" x14ac:dyDescent="0.15">
      <c r="A612" s="1"/>
      <c r="B612" s="1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3" x14ac:dyDescent="0.15">
      <c r="A613" s="1"/>
      <c r="B613" s="1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3" x14ac:dyDescent="0.15">
      <c r="A614" s="1"/>
      <c r="B614" s="1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3" x14ac:dyDescent="0.15">
      <c r="A615" s="1"/>
      <c r="B615" s="1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3" x14ac:dyDescent="0.15">
      <c r="A616" s="1"/>
      <c r="B616" s="1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3" x14ac:dyDescent="0.15">
      <c r="A617" s="1"/>
      <c r="B617" s="1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3" x14ac:dyDescent="0.15">
      <c r="A618" s="1"/>
      <c r="B618" s="1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3" x14ac:dyDescent="0.15">
      <c r="A619" s="1"/>
      <c r="B619" s="1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3" x14ac:dyDescent="0.15">
      <c r="A620" s="1"/>
      <c r="B620" s="1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3" x14ac:dyDescent="0.15">
      <c r="A621" s="1"/>
      <c r="B621" s="1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3" x14ac:dyDescent="0.15">
      <c r="A622" s="1"/>
      <c r="B622" s="1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3" x14ac:dyDescent="0.15">
      <c r="A623" s="1"/>
      <c r="B623" s="1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3" x14ac:dyDescent="0.15">
      <c r="A624" s="1"/>
      <c r="B624" s="1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3" x14ac:dyDescent="0.15">
      <c r="A625" s="1"/>
      <c r="B625" s="1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3" x14ac:dyDescent="0.15">
      <c r="A626" s="1"/>
      <c r="B626" s="1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3" x14ac:dyDescent="0.15">
      <c r="A627" s="1"/>
      <c r="B627" s="1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3" x14ac:dyDescent="0.15">
      <c r="A628" s="1"/>
      <c r="B628" s="1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3" x14ac:dyDescent="0.15">
      <c r="A629" s="1"/>
      <c r="B629" s="1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3" x14ac:dyDescent="0.15">
      <c r="A630" s="1"/>
      <c r="B630" s="1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3" x14ac:dyDescent="0.15">
      <c r="A631" s="1"/>
      <c r="B631" s="1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3" x14ac:dyDescent="0.15">
      <c r="A632" s="1"/>
      <c r="B632" s="1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3" x14ac:dyDescent="0.15">
      <c r="A633" s="1"/>
      <c r="B633" s="1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3" x14ac:dyDescent="0.15">
      <c r="A634" s="1"/>
      <c r="B634" s="1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3" x14ac:dyDescent="0.15">
      <c r="A635" s="1"/>
      <c r="B635" s="1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3" x14ac:dyDescent="0.15">
      <c r="A636" s="1"/>
      <c r="B636" s="1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3" x14ac:dyDescent="0.15">
      <c r="A637" s="1"/>
      <c r="B637" s="1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3" x14ac:dyDescent="0.15">
      <c r="A638" s="1"/>
      <c r="B638" s="1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3" x14ac:dyDescent="0.15">
      <c r="A639" s="1"/>
      <c r="B639" s="1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3" x14ac:dyDescent="0.15">
      <c r="A640" s="1"/>
      <c r="B640" s="1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3" x14ac:dyDescent="0.15">
      <c r="A641" s="1"/>
      <c r="B641" s="1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3" x14ac:dyDescent="0.15">
      <c r="A642" s="1"/>
      <c r="B642" s="1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3" x14ac:dyDescent="0.15">
      <c r="A643" s="1"/>
      <c r="B643" s="1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3" x14ac:dyDescent="0.15">
      <c r="A644" s="1"/>
      <c r="B644" s="1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3" x14ac:dyDescent="0.15">
      <c r="A645" s="1"/>
      <c r="B645" s="1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3" x14ac:dyDescent="0.15">
      <c r="A646" s="1"/>
      <c r="B646" s="1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3" x14ac:dyDescent="0.15">
      <c r="A647" s="1"/>
      <c r="B647" s="1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3" x14ac:dyDescent="0.15">
      <c r="A648" s="1"/>
      <c r="B648" s="1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3" x14ac:dyDescent="0.15">
      <c r="A649" s="1"/>
      <c r="B649" s="1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3" x14ac:dyDescent="0.15">
      <c r="A650" s="1"/>
      <c r="B650" s="1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3" x14ac:dyDescent="0.15">
      <c r="A651" s="1"/>
      <c r="B651" s="1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3" x14ac:dyDescent="0.15">
      <c r="A652" s="1"/>
      <c r="B652" s="1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3" x14ac:dyDescent="0.15">
      <c r="A653" s="1"/>
      <c r="B653" s="1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3" x14ac:dyDescent="0.15">
      <c r="A654" s="1"/>
      <c r="B654" s="1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3" x14ac:dyDescent="0.15">
      <c r="A655" s="1"/>
      <c r="B655" s="1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3" x14ac:dyDescent="0.15">
      <c r="A656" s="1"/>
      <c r="B656" s="1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3" x14ac:dyDescent="0.15">
      <c r="A657" s="1"/>
      <c r="B657" s="1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3" x14ac:dyDescent="0.15">
      <c r="A658" s="1"/>
      <c r="B658" s="1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3" x14ac:dyDescent="0.15">
      <c r="A659" s="1"/>
      <c r="B659" s="1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3" x14ac:dyDescent="0.15">
      <c r="A660" s="1"/>
      <c r="B660" s="1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3" x14ac:dyDescent="0.15">
      <c r="A661" s="1"/>
      <c r="B661" s="1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3" x14ac:dyDescent="0.15">
      <c r="A662" s="1"/>
      <c r="B662" s="1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3" x14ac:dyDescent="0.15">
      <c r="A663" s="1"/>
      <c r="B663" s="1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3" x14ac:dyDescent="0.15">
      <c r="A664" s="1"/>
      <c r="B664" s="1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3" x14ac:dyDescent="0.15">
      <c r="A665" s="1"/>
      <c r="B665" s="1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3" x14ac:dyDescent="0.15">
      <c r="A666" s="1"/>
      <c r="B666" s="1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3" x14ac:dyDescent="0.15">
      <c r="A667" s="1"/>
      <c r="B667" s="1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3" x14ac:dyDescent="0.15">
      <c r="A668" s="1"/>
      <c r="B668" s="1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3" x14ac:dyDescent="0.15">
      <c r="A669" s="1"/>
      <c r="B669" s="1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3" x14ac:dyDescent="0.15">
      <c r="A670" s="1"/>
      <c r="B670" s="1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3" x14ac:dyDescent="0.15">
      <c r="A671" s="1"/>
      <c r="B671" s="1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3" x14ac:dyDescent="0.15">
      <c r="A672" s="1"/>
      <c r="B672" s="1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3" x14ac:dyDescent="0.15">
      <c r="A673" s="1"/>
      <c r="B673" s="1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3" x14ac:dyDescent="0.15">
      <c r="A674" s="1"/>
      <c r="B674" s="1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3" x14ac:dyDescent="0.15">
      <c r="A675" s="1"/>
      <c r="B675" s="1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3" x14ac:dyDescent="0.15">
      <c r="A676" s="1"/>
      <c r="B676" s="1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3" x14ac:dyDescent="0.15">
      <c r="A677" s="1"/>
      <c r="B677" s="1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3" x14ac:dyDescent="0.15">
      <c r="A678" s="1"/>
      <c r="B678" s="1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3" x14ac:dyDescent="0.15">
      <c r="A679" s="1"/>
      <c r="B679" s="1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3" x14ac:dyDescent="0.15">
      <c r="A680" s="1"/>
      <c r="B680" s="1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3" x14ac:dyDescent="0.15">
      <c r="A681" s="1"/>
      <c r="B681" s="1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3" x14ac:dyDescent="0.15">
      <c r="A682" s="1"/>
      <c r="B682" s="1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3" x14ac:dyDescent="0.15">
      <c r="A683" s="1"/>
      <c r="B683" s="1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3" x14ac:dyDescent="0.15">
      <c r="A684" s="1"/>
      <c r="B684" s="1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3" x14ac:dyDescent="0.15">
      <c r="A685" s="1"/>
      <c r="B685" s="1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3" x14ac:dyDescent="0.15">
      <c r="A686" s="1"/>
      <c r="B686" s="1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3" x14ac:dyDescent="0.15">
      <c r="A687" s="1"/>
      <c r="B687" s="1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3" x14ac:dyDescent="0.15">
      <c r="A688" s="1"/>
      <c r="B688" s="1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3" x14ac:dyDescent="0.15">
      <c r="A689" s="1"/>
      <c r="B689" s="1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3" x14ac:dyDescent="0.15">
      <c r="A690" s="1"/>
      <c r="B690" s="1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3" x14ac:dyDescent="0.15">
      <c r="A691" s="1"/>
      <c r="B691" s="1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3" x14ac:dyDescent="0.15">
      <c r="A692" s="1"/>
      <c r="B692" s="1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3" x14ac:dyDescent="0.15">
      <c r="A693" s="1"/>
      <c r="B693" s="1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3" x14ac:dyDescent="0.15">
      <c r="A694" s="1"/>
      <c r="B694" s="1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3" x14ac:dyDescent="0.15">
      <c r="A695" s="1"/>
      <c r="B695" s="1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3" x14ac:dyDescent="0.15">
      <c r="A696" s="1"/>
      <c r="B696" s="1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3" x14ac:dyDescent="0.15">
      <c r="A697" s="1"/>
      <c r="B697" s="1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3" x14ac:dyDescent="0.15">
      <c r="A698" s="1"/>
      <c r="B698" s="1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3" x14ac:dyDescent="0.15">
      <c r="A699" s="1"/>
      <c r="B699" s="1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3" x14ac:dyDescent="0.15">
      <c r="A700" s="1"/>
      <c r="B700" s="1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3" x14ac:dyDescent="0.15">
      <c r="A701" s="1"/>
      <c r="B701" s="1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3" x14ac:dyDescent="0.15">
      <c r="A702" s="1"/>
      <c r="B702" s="1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3" x14ac:dyDescent="0.15">
      <c r="A703" s="1"/>
      <c r="B703" s="1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3" x14ac:dyDescent="0.15">
      <c r="A704" s="1"/>
      <c r="B704" s="1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3" x14ac:dyDescent="0.15">
      <c r="A705" s="1"/>
      <c r="B705" s="1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3" x14ac:dyDescent="0.15">
      <c r="A706" s="1"/>
      <c r="B706" s="1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3" x14ac:dyDescent="0.15">
      <c r="A707" s="1"/>
      <c r="B707" s="1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3" x14ac:dyDescent="0.15">
      <c r="A708" s="1"/>
      <c r="B708" s="1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3" x14ac:dyDescent="0.15">
      <c r="A709" s="1"/>
      <c r="B709" s="1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3" x14ac:dyDescent="0.15">
      <c r="A710" s="1"/>
      <c r="B710" s="1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3" x14ac:dyDescent="0.15">
      <c r="A711" s="1"/>
      <c r="B711" s="1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3" x14ac:dyDescent="0.15">
      <c r="A712" s="1"/>
      <c r="B712" s="1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3" x14ac:dyDescent="0.15">
      <c r="A713" s="1"/>
      <c r="B713" s="1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3" x14ac:dyDescent="0.15">
      <c r="A714" s="1"/>
      <c r="B714" s="1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3" x14ac:dyDescent="0.15">
      <c r="A715" s="1"/>
      <c r="B715" s="1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3" x14ac:dyDescent="0.15">
      <c r="A716" s="1"/>
      <c r="B716" s="1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3" x14ac:dyDescent="0.15">
      <c r="A717" s="1"/>
      <c r="B717" s="1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3" x14ac:dyDescent="0.15">
      <c r="A718" s="1"/>
      <c r="B718" s="1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3" x14ac:dyDescent="0.15">
      <c r="A719" s="1"/>
      <c r="B719" s="1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3" x14ac:dyDescent="0.15">
      <c r="A720" s="1"/>
      <c r="B720" s="1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3" x14ac:dyDescent="0.15">
      <c r="A721" s="1"/>
      <c r="B721" s="1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3" x14ac:dyDescent="0.15">
      <c r="A722" s="1"/>
      <c r="B722" s="1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3" x14ac:dyDescent="0.15">
      <c r="A723" s="1"/>
      <c r="B723" s="1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3" x14ac:dyDescent="0.15">
      <c r="A724" s="1"/>
      <c r="B724" s="1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3" x14ac:dyDescent="0.15">
      <c r="A725" s="1"/>
      <c r="B725" s="1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3" x14ac:dyDescent="0.15">
      <c r="A726" s="1"/>
      <c r="B726" s="1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3" x14ac:dyDescent="0.15">
      <c r="A727" s="1"/>
      <c r="B727" s="1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3" x14ac:dyDescent="0.15">
      <c r="A728" s="1"/>
      <c r="B728" s="1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3" x14ac:dyDescent="0.15">
      <c r="A729" s="1"/>
      <c r="B729" s="1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3" x14ac:dyDescent="0.15">
      <c r="A730" s="1"/>
      <c r="B730" s="1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3" x14ac:dyDescent="0.15">
      <c r="A731" s="1"/>
      <c r="B731" s="1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3" x14ac:dyDescent="0.15">
      <c r="A732" s="1"/>
      <c r="B732" s="1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3" x14ac:dyDescent="0.15">
      <c r="A733" s="1"/>
      <c r="B733" s="1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3" x14ac:dyDescent="0.15">
      <c r="A734" s="1"/>
      <c r="B734" s="1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3" x14ac:dyDescent="0.15">
      <c r="A735" s="1"/>
      <c r="B735" s="1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3" x14ac:dyDescent="0.15">
      <c r="A736" s="1"/>
      <c r="B736" s="1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3" x14ac:dyDescent="0.15">
      <c r="A737" s="1"/>
      <c r="B737" s="1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3" x14ac:dyDescent="0.15">
      <c r="A738" s="1"/>
      <c r="B738" s="1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3" x14ac:dyDescent="0.15">
      <c r="A739" s="1"/>
      <c r="B739" s="1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3" x14ac:dyDescent="0.15">
      <c r="A740" s="1"/>
      <c r="B740" s="1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3" x14ac:dyDescent="0.15">
      <c r="A741" s="1"/>
      <c r="B741" s="1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3" x14ac:dyDescent="0.15">
      <c r="A742" s="1"/>
      <c r="B742" s="1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3" x14ac:dyDescent="0.15">
      <c r="A743" s="1"/>
      <c r="B743" s="1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3" x14ac:dyDescent="0.15">
      <c r="A744" s="1"/>
      <c r="B744" s="1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3" x14ac:dyDescent="0.15">
      <c r="A745" s="1"/>
      <c r="B745" s="1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3" x14ac:dyDescent="0.15">
      <c r="A746" s="1"/>
      <c r="B746" s="1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3" x14ac:dyDescent="0.15">
      <c r="A747" s="1"/>
      <c r="B747" s="1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3" x14ac:dyDescent="0.15">
      <c r="A748" s="1"/>
      <c r="B748" s="1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3" x14ac:dyDescent="0.15">
      <c r="A749" s="1"/>
      <c r="B749" s="1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3" x14ac:dyDescent="0.15">
      <c r="A750" s="1"/>
      <c r="B750" s="1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3" x14ac:dyDescent="0.15">
      <c r="A751" s="1"/>
      <c r="B751" s="1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3" x14ac:dyDescent="0.15">
      <c r="A752" s="1"/>
      <c r="B752" s="1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3" x14ac:dyDescent="0.15">
      <c r="A753" s="1"/>
      <c r="B753" s="1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3" x14ac:dyDescent="0.15">
      <c r="A754" s="1"/>
      <c r="B754" s="1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3" x14ac:dyDescent="0.15">
      <c r="A755" s="1"/>
      <c r="B755" s="1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3" x14ac:dyDescent="0.15">
      <c r="A756" s="1"/>
      <c r="B756" s="1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3" x14ac:dyDescent="0.15">
      <c r="A757" s="1"/>
      <c r="B757" s="1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3" x14ac:dyDescent="0.15">
      <c r="A758" s="1"/>
      <c r="B758" s="1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3" x14ac:dyDescent="0.15">
      <c r="A759" s="1"/>
      <c r="B759" s="1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3" x14ac:dyDescent="0.15">
      <c r="A760" s="1"/>
      <c r="B760" s="1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3" x14ac:dyDescent="0.15">
      <c r="A761" s="1"/>
      <c r="B761" s="1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3" x14ac:dyDescent="0.15">
      <c r="A762" s="1"/>
      <c r="B762" s="1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3" x14ac:dyDescent="0.15">
      <c r="A763" s="1"/>
      <c r="B763" s="1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3" x14ac:dyDescent="0.15">
      <c r="A764" s="1"/>
      <c r="B764" s="1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3" x14ac:dyDescent="0.15">
      <c r="A765" s="1"/>
      <c r="B765" s="1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3" x14ac:dyDescent="0.15">
      <c r="A766" s="1"/>
      <c r="B766" s="1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3" x14ac:dyDescent="0.15">
      <c r="A767" s="1"/>
      <c r="B767" s="1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3" x14ac:dyDescent="0.15">
      <c r="A768" s="1"/>
      <c r="B768" s="1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3" x14ac:dyDescent="0.15">
      <c r="A769" s="1"/>
      <c r="B769" s="1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3" x14ac:dyDescent="0.15">
      <c r="A770" s="1"/>
      <c r="B770" s="1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3" x14ac:dyDescent="0.15">
      <c r="A771" s="1"/>
      <c r="B771" s="1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3" x14ac:dyDescent="0.15">
      <c r="A772" s="1"/>
      <c r="B772" s="1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3" x14ac:dyDescent="0.15">
      <c r="A773" s="1"/>
      <c r="B773" s="1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3" x14ac:dyDescent="0.15">
      <c r="A774" s="1"/>
      <c r="B774" s="1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3" x14ac:dyDescent="0.15">
      <c r="A775" s="1"/>
      <c r="B775" s="1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3" x14ac:dyDescent="0.15">
      <c r="A776" s="1"/>
      <c r="B776" s="1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3" x14ac:dyDescent="0.15">
      <c r="A777" s="1"/>
      <c r="B777" s="1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3" x14ac:dyDescent="0.15">
      <c r="A778" s="1"/>
      <c r="B778" s="1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3" x14ac:dyDescent="0.15">
      <c r="A779" s="1"/>
      <c r="B779" s="1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3" x14ac:dyDescent="0.15">
      <c r="A780" s="1"/>
      <c r="B780" s="1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3" x14ac:dyDescent="0.15">
      <c r="A781" s="1"/>
      <c r="B781" s="1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3" x14ac:dyDescent="0.15">
      <c r="A782" s="1"/>
      <c r="B782" s="1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3" x14ac:dyDescent="0.15">
      <c r="A783" s="1"/>
      <c r="B783" s="1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3" x14ac:dyDescent="0.15">
      <c r="A784" s="1"/>
      <c r="B784" s="1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3" x14ac:dyDescent="0.15">
      <c r="A785" s="1"/>
      <c r="B785" s="1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3" x14ac:dyDescent="0.15">
      <c r="A786" s="1"/>
      <c r="B786" s="1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3" x14ac:dyDescent="0.15">
      <c r="A787" s="1"/>
      <c r="B787" s="1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3" x14ac:dyDescent="0.15">
      <c r="A788" s="1"/>
      <c r="B788" s="1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3" x14ac:dyDescent="0.15">
      <c r="A789" s="1"/>
      <c r="B789" s="1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3" x14ac:dyDescent="0.15">
      <c r="A790" s="1"/>
      <c r="B790" s="1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3" x14ac:dyDescent="0.15">
      <c r="A791" s="1"/>
      <c r="B791" s="1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3" x14ac:dyDescent="0.15">
      <c r="A792" s="1"/>
      <c r="B792" s="1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3" x14ac:dyDescent="0.15">
      <c r="A793" s="1"/>
      <c r="B793" s="1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3" x14ac:dyDescent="0.15">
      <c r="A794" s="1"/>
      <c r="B794" s="1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3" x14ac:dyDescent="0.15">
      <c r="A795" s="1"/>
      <c r="B795" s="1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3" x14ac:dyDescent="0.15">
      <c r="A796" s="1"/>
      <c r="B796" s="1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3" x14ac:dyDescent="0.15">
      <c r="A797" s="1"/>
      <c r="B797" s="1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3" x14ac:dyDescent="0.15">
      <c r="A798" s="1"/>
      <c r="B798" s="1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3" x14ac:dyDescent="0.15">
      <c r="A799" s="1"/>
      <c r="B799" s="1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3" x14ac:dyDescent="0.15">
      <c r="A800" s="1"/>
      <c r="B800" s="1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3" x14ac:dyDescent="0.15">
      <c r="A801" s="1"/>
      <c r="B801" s="1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3" x14ac:dyDescent="0.15">
      <c r="A802" s="1"/>
      <c r="B802" s="1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3" x14ac:dyDescent="0.15">
      <c r="A803" s="1"/>
      <c r="B803" s="1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3" x14ac:dyDescent="0.15">
      <c r="A804" s="1"/>
      <c r="B804" s="1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3" x14ac:dyDescent="0.15">
      <c r="A805" s="1"/>
      <c r="B805" s="1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3" x14ac:dyDescent="0.15">
      <c r="A806" s="1"/>
      <c r="B806" s="1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3" x14ac:dyDescent="0.15">
      <c r="A807" s="1"/>
      <c r="B807" s="1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3" x14ac:dyDescent="0.15">
      <c r="A808" s="1"/>
      <c r="B808" s="1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3" x14ac:dyDescent="0.15">
      <c r="A809" s="1"/>
      <c r="B809" s="1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3" x14ac:dyDescent="0.15">
      <c r="A810" s="1"/>
      <c r="B810" s="1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3" x14ac:dyDescent="0.15">
      <c r="A811" s="1"/>
      <c r="B811" s="1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3" x14ac:dyDescent="0.15">
      <c r="A812" s="1"/>
      <c r="B812" s="1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3" x14ac:dyDescent="0.15">
      <c r="A813" s="1"/>
      <c r="B813" s="1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3" x14ac:dyDescent="0.15">
      <c r="A814" s="1"/>
      <c r="B814" s="1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3" x14ac:dyDescent="0.15">
      <c r="A815" s="1"/>
      <c r="B815" s="1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3" x14ac:dyDescent="0.15">
      <c r="A816" s="1"/>
      <c r="B816" s="1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3" x14ac:dyDescent="0.15">
      <c r="A817" s="1"/>
      <c r="B817" s="1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3" x14ac:dyDescent="0.15">
      <c r="A818" s="1"/>
      <c r="B818" s="1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3" x14ac:dyDescent="0.15">
      <c r="A819" s="1"/>
      <c r="B819" s="1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3" x14ac:dyDescent="0.15">
      <c r="A820" s="1"/>
      <c r="B820" s="1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3" x14ac:dyDescent="0.15">
      <c r="A821" s="1"/>
      <c r="B821" s="1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3" x14ac:dyDescent="0.15">
      <c r="A822" s="1"/>
      <c r="B822" s="1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3" x14ac:dyDescent="0.15">
      <c r="A823" s="1"/>
      <c r="B823" s="1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3" x14ac:dyDescent="0.15">
      <c r="A824" s="1"/>
      <c r="B824" s="1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3" x14ac:dyDescent="0.15">
      <c r="A825" s="1"/>
      <c r="B825" s="1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3" x14ac:dyDescent="0.15">
      <c r="A826" s="1"/>
      <c r="B826" s="1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3" x14ac:dyDescent="0.15">
      <c r="A827" s="1"/>
      <c r="B827" s="1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3" x14ac:dyDescent="0.15">
      <c r="A828" s="1"/>
      <c r="B828" s="1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3" x14ac:dyDescent="0.15">
      <c r="A829" s="1"/>
      <c r="B829" s="1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3" x14ac:dyDescent="0.15">
      <c r="A830" s="1"/>
      <c r="B830" s="1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3" x14ac:dyDescent="0.15">
      <c r="A831" s="1"/>
      <c r="B831" s="1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3" x14ac:dyDescent="0.15">
      <c r="A832" s="1"/>
      <c r="B832" s="1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3" x14ac:dyDescent="0.15">
      <c r="A833" s="1"/>
      <c r="B833" s="1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3" x14ac:dyDescent="0.15">
      <c r="A834" s="1"/>
      <c r="B834" s="1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3" x14ac:dyDescent="0.15">
      <c r="A835" s="1"/>
      <c r="B835" s="1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3" x14ac:dyDescent="0.15">
      <c r="A836" s="1"/>
      <c r="B836" s="1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3" x14ac:dyDescent="0.15">
      <c r="A837" s="1"/>
      <c r="B837" s="1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3" x14ac:dyDescent="0.15">
      <c r="A838" s="1"/>
      <c r="B838" s="1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3" x14ac:dyDescent="0.15">
      <c r="A839" s="1"/>
      <c r="B839" s="1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3" x14ac:dyDescent="0.15">
      <c r="A840" s="1"/>
      <c r="B840" s="1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3" x14ac:dyDescent="0.15">
      <c r="A841" s="1"/>
      <c r="B841" s="1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3" x14ac:dyDescent="0.15">
      <c r="A842" s="1"/>
      <c r="B842" s="1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3" x14ac:dyDescent="0.15">
      <c r="A843" s="1"/>
      <c r="B843" s="1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3" x14ac:dyDescent="0.15">
      <c r="A844" s="1"/>
      <c r="B844" s="1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3" x14ac:dyDescent="0.15">
      <c r="A845" s="1"/>
      <c r="B845" s="1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3" x14ac:dyDescent="0.15">
      <c r="A846" s="1"/>
      <c r="B846" s="1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3" x14ac:dyDescent="0.15">
      <c r="A847" s="1"/>
      <c r="B847" s="1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3" x14ac:dyDescent="0.15">
      <c r="A848" s="1"/>
      <c r="B848" s="1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3" x14ac:dyDescent="0.15">
      <c r="A849" s="1"/>
      <c r="B849" s="1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3" x14ac:dyDescent="0.15">
      <c r="A850" s="1"/>
      <c r="B850" s="1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3" x14ac:dyDescent="0.15">
      <c r="A851" s="1"/>
      <c r="B851" s="1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3" x14ac:dyDescent="0.15">
      <c r="A852" s="1"/>
      <c r="B852" s="1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3" x14ac:dyDescent="0.15">
      <c r="A853" s="1"/>
      <c r="B853" s="1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3" x14ac:dyDescent="0.15">
      <c r="A854" s="1"/>
      <c r="B854" s="1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3" x14ac:dyDescent="0.15">
      <c r="A855" s="1"/>
      <c r="B855" s="1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3" x14ac:dyDescent="0.15">
      <c r="A856" s="1"/>
      <c r="B856" s="1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3" x14ac:dyDescent="0.15">
      <c r="A857" s="1"/>
      <c r="B857" s="1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3" x14ac:dyDescent="0.15">
      <c r="A858" s="1"/>
      <c r="B858" s="1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3" x14ac:dyDescent="0.15">
      <c r="A859" s="1"/>
      <c r="B859" s="1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3" x14ac:dyDescent="0.15">
      <c r="A860" s="1"/>
      <c r="B860" s="1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3" x14ac:dyDescent="0.15">
      <c r="A861" s="1"/>
      <c r="B861" s="1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3" x14ac:dyDescent="0.15">
      <c r="A862" s="1"/>
      <c r="B862" s="1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3" x14ac:dyDescent="0.15">
      <c r="A863" s="1"/>
      <c r="B863" s="1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3" x14ac:dyDescent="0.15">
      <c r="A864" s="1"/>
      <c r="B864" s="1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3" x14ac:dyDescent="0.15">
      <c r="A865" s="1"/>
      <c r="B865" s="1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3" x14ac:dyDescent="0.15">
      <c r="A866" s="1"/>
      <c r="B866" s="1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3" x14ac:dyDescent="0.15">
      <c r="A867" s="1"/>
      <c r="B867" s="1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3" x14ac:dyDescent="0.15">
      <c r="A868" s="1"/>
      <c r="B868" s="1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3" x14ac:dyDescent="0.15">
      <c r="A869" s="1"/>
      <c r="B869" s="1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3" x14ac:dyDescent="0.15">
      <c r="A870" s="1"/>
      <c r="B870" s="1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3" x14ac:dyDescent="0.15">
      <c r="A871" s="1"/>
      <c r="B871" s="1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3" x14ac:dyDescent="0.15">
      <c r="A872" s="1"/>
      <c r="B872" s="1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3" x14ac:dyDescent="0.15">
      <c r="A873" s="1"/>
      <c r="B873" s="1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3" x14ac:dyDescent="0.15">
      <c r="A874" s="1"/>
      <c r="B874" s="1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3" x14ac:dyDescent="0.15">
      <c r="A875" s="1"/>
      <c r="B875" s="1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3" x14ac:dyDescent="0.15">
      <c r="A876" s="1"/>
      <c r="B876" s="1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3" x14ac:dyDescent="0.15">
      <c r="A877" s="1"/>
      <c r="B877" s="1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3" x14ac:dyDescent="0.15">
      <c r="A878" s="1"/>
      <c r="B878" s="1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3" x14ac:dyDescent="0.15">
      <c r="A879" s="1"/>
      <c r="B879" s="1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3" x14ac:dyDescent="0.15">
      <c r="A880" s="1"/>
      <c r="B880" s="1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3" x14ac:dyDescent="0.15">
      <c r="A881" s="1"/>
      <c r="B881" s="1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3" x14ac:dyDescent="0.15">
      <c r="A882" s="1"/>
      <c r="B882" s="1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spans="1:85" ht="13" x14ac:dyDescent="0.15">
      <c r="A883" s="1"/>
      <c r="B883" s="1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spans="1:85" ht="13" x14ac:dyDescent="0.15">
      <c r="A884" s="1"/>
      <c r="B884" s="1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spans="1:85" ht="13" x14ac:dyDescent="0.15">
      <c r="A885" s="1"/>
      <c r="B885" s="1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spans="1:85" ht="13" x14ac:dyDescent="0.15">
      <c r="A886" s="1"/>
      <c r="B886" s="1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spans="1:85" ht="13" x14ac:dyDescent="0.15">
      <c r="A887" s="1"/>
      <c r="B887" s="1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spans="1:85" ht="13" x14ac:dyDescent="0.15">
      <c r="A888" s="1"/>
      <c r="B888" s="1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spans="1:85" ht="13" x14ac:dyDescent="0.15">
      <c r="A889" s="1"/>
      <c r="B889" s="1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spans="1:85" ht="13" x14ac:dyDescent="0.15">
      <c r="A890" s="1"/>
      <c r="B890" s="1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 spans="1:85" ht="13" x14ac:dyDescent="0.15">
      <c r="A891" s="1"/>
      <c r="B891" s="1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 spans="1:85" ht="13" x14ac:dyDescent="0.15">
      <c r="A892" s="1"/>
      <c r="B892" s="1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 spans="1:85" ht="13" x14ac:dyDescent="0.15">
      <c r="A893" s="1"/>
      <c r="B893" s="1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 spans="1:85" ht="13" x14ac:dyDescent="0.15">
      <c r="A894" s="1"/>
      <c r="B894" s="1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 spans="1:85" ht="13" x14ac:dyDescent="0.15">
      <c r="A895" s="1"/>
      <c r="B895" s="1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 spans="1:85" ht="13" x14ac:dyDescent="0.15">
      <c r="A896" s="1"/>
      <c r="B896" s="1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 spans="1:85" ht="13" x14ac:dyDescent="0.15">
      <c r="A897" s="1"/>
      <c r="B897" s="1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 spans="1:85" ht="13" x14ac:dyDescent="0.15">
      <c r="A898" s="1"/>
      <c r="B898" s="1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 spans="1:85" ht="13" x14ac:dyDescent="0.15">
      <c r="A899" s="1"/>
      <c r="B899" s="1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 spans="1:85" ht="13" x14ac:dyDescent="0.15">
      <c r="A900" s="1"/>
      <c r="B900" s="1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  <row r="901" spans="1:85" ht="13" x14ac:dyDescent="0.15">
      <c r="A901" s="1"/>
      <c r="B901" s="1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</row>
    <row r="902" spans="1:85" ht="13" x14ac:dyDescent="0.15">
      <c r="A902" s="1"/>
      <c r="B902" s="1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</row>
    <row r="903" spans="1:85" ht="13" x14ac:dyDescent="0.15">
      <c r="A903" s="1"/>
      <c r="B903" s="1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</row>
    <row r="904" spans="1:85" ht="13" x14ac:dyDescent="0.15">
      <c r="A904" s="1"/>
      <c r="B904" s="1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</row>
    <row r="905" spans="1:85" ht="13" x14ac:dyDescent="0.15">
      <c r="A905" s="1"/>
      <c r="B905" s="1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</row>
    <row r="906" spans="1:85" ht="13" x14ac:dyDescent="0.15">
      <c r="A906" s="1"/>
      <c r="B906" s="1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</row>
    <row r="907" spans="1:85" ht="13" x14ac:dyDescent="0.15">
      <c r="A907" s="1"/>
      <c r="B907" s="1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</row>
    <row r="908" spans="1:85" ht="13" x14ac:dyDescent="0.15">
      <c r="A908" s="1"/>
      <c r="B908" s="1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</row>
    <row r="909" spans="1:85" ht="13" x14ac:dyDescent="0.15">
      <c r="A909" s="1"/>
      <c r="B909" s="1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</row>
    <row r="910" spans="1:85" ht="13" x14ac:dyDescent="0.15">
      <c r="A910" s="1"/>
      <c r="B910" s="1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</row>
    <row r="911" spans="1:85" ht="13" x14ac:dyDescent="0.15">
      <c r="A911" s="1"/>
      <c r="B911" s="1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</row>
    <row r="912" spans="1:85" ht="13" x14ac:dyDescent="0.15">
      <c r="A912" s="1"/>
      <c r="B912" s="1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</row>
    <row r="913" spans="1:85" ht="13" x14ac:dyDescent="0.15">
      <c r="A913" s="1"/>
      <c r="B913" s="1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</row>
    <row r="914" spans="1:85" ht="13" x14ac:dyDescent="0.15">
      <c r="A914" s="1"/>
      <c r="B914" s="1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</row>
    <row r="915" spans="1:85" ht="13" x14ac:dyDescent="0.15">
      <c r="A915" s="1"/>
      <c r="B915" s="1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</row>
    <row r="916" spans="1:85" ht="13" x14ac:dyDescent="0.15">
      <c r="A916" s="1"/>
      <c r="B916" s="1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</row>
    <row r="917" spans="1:85" ht="13" x14ac:dyDescent="0.15">
      <c r="A917" s="1"/>
      <c r="B917" s="1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</row>
    <row r="918" spans="1:85" ht="13" x14ac:dyDescent="0.15">
      <c r="A918" s="1"/>
      <c r="B918" s="1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</row>
    <row r="919" spans="1:85" ht="13" x14ac:dyDescent="0.15">
      <c r="A919" s="1"/>
      <c r="B919" s="1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</row>
    <row r="920" spans="1:85" ht="13" x14ac:dyDescent="0.15">
      <c r="A920" s="1"/>
      <c r="B920" s="1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</row>
    <row r="921" spans="1:85" ht="13" x14ac:dyDescent="0.15">
      <c r="A921" s="1"/>
      <c r="B921" s="1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</row>
    <row r="922" spans="1:85" ht="13" x14ac:dyDescent="0.15">
      <c r="A922" s="1"/>
      <c r="B922" s="1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</row>
    <row r="923" spans="1:85" ht="13" x14ac:dyDescent="0.15">
      <c r="A923" s="1"/>
      <c r="B923" s="1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</row>
    <row r="924" spans="1:85" ht="13" x14ac:dyDescent="0.15">
      <c r="A924" s="1"/>
      <c r="B924" s="1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</row>
    <row r="925" spans="1:85" ht="13" x14ac:dyDescent="0.15">
      <c r="A925" s="1"/>
      <c r="B925" s="1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</row>
    <row r="926" spans="1:85" ht="13" x14ac:dyDescent="0.15">
      <c r="A926" s="1"/>
      <c r="B926" s="1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</row>
    <row r="927" spans="1:85" ht="13" x14ac:dyDescent="0.15">
      <c r="A927" s="1"/>
      <c r="B927" s="1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</row>
    <row r="928" spans="1:85" ht="13" x14ac:dyDescent="0.15">
      <c r="A928" s="1"/>
      <c r="B928" s="1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</row>
    <row r="929" spans="1:85" ht="13" x14ac:dyDescent="0.15">
      <c r="A929" s="1"/>
      <c r="B929" s="1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</row>
    <row r="930" spans="1:85" ht="13" x14ac:dyDescent="0.15">
      <c r="A930" s="1"/>
      <c r="B930" s="1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</row>
    <row r="931" spans="1:85" ht="13" x14ac:dyDescent="0.15">
      <c r="A931" s="1"/>
      <c r="B931" s="1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</row>
    <row r="932" spans="1:85" ht="13" x14ac:dyDescent="0.15">
      <c r="A932" s="1"/>
      <c r="B932" s="1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</row>
    <row r="933" spans="1:85" ht="13" x14ac:dyDescent="0.15">
      <c r="A933" s="1"/>
      <c r="B933" s="1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</row>
    <row r="934" spans="1:85" ht="13" x14ac:dyDescent="0.15">
      <c r="A934" s="1"/>
      <c r="B934" s="1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</row>
    <row r="935" spans="1:85" ht="13" x14ac:dyDescent="0.15">
      <c r="A935" s="1"/>
      <c r="B935" s="1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</row>
    <row r="936" spans="1:85" ht="13" x14ac:dyDescent="0.15">
      <c r="A936" s="1"/>
      <c r="B936" s="1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</row>
    <row r="937" spans="1:85" ht="13" x14ac:dyDescent="0.15">
      <c r="A937" s="1"/>
      <c r="B937" s="1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</row>
    <row r="938" spans="1:85" ht="13" x14ac:dyDescent="0.15">
      <c r="A938" s="1"/>
      <c r="B938" s="1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</row>
    <row r="939" spans="1:85" ht="13" x14ac:dyDescent="0.15">
      <c r="A939" s="1"/>
      <c r="B939" s="1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</row>
    <row r="940" spans="1:85" ht="13" x14ac:dyDescent="0.15">
      <c r="A940" s="1"/>
      <c r="B940" s="1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</row>
    <row r="941" spans="1:85" ht="13" x14ac:dyDescent="0.15">
      <c r="A941" s="1"/>
      <c r="B941" s="1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</row>
    <row r="942" spans="1:85" ht="13" x14ac:dyDescent="0.15">
      <c r="A942" s="1"/>
      <c r="B942" s="1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</row>
    <row r="943" spans="1:85" ht="13" x14ac:dyDescent="0.15">
      <c r="A943" s="1"/>
      <c r="B943" s="1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</row>
    <row r="944" spans="1:85" ht="13" x14ac:dyDescent="0.15">
      <c r="A944" s="1"/>
      <c r="B944" s="1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</row>
    <row r="945" spans="1:85" ht="13" x14ac:dyDescent="0.15">
      <c r="A945" s="1"/>
      <c r="B945" s="1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</row>
    <row r="946" spans="1:85" ht="13" x14ac:dyDescent="0.15">
      <c r="A946" s="1"/>
      <c r="B946" s="1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</row>
    <row r="947" spans="1:85" ht="13" x14ac:dyDescent="0.15">
      <c r="A947" s="1"/>
      <c r="B947" s="1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</row>
    <row r="948" spans="1:85" ht="13" x14ac:dyDescent="0.15">
      <c r="A948" s="1"/>
      <c r="B948" s="1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</row>
    <row r="949" spans="1:85" ht="13" x14ac:dyDescent="0.15">
      <c r="A949" s="1"/>
      <c r="B949" s="1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</row>
    <row r="950" spans="1:85" ht="13" x14ac:dyDescent="0.15">
      <c r="A950" s="1"/>
      <c r="B950" s="1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</row>
    <row r="951" spans="1:85" ht="13" x14ac:dyDescent="0.15">
      <c r="A951" s="1"/>
      <c r="B951" s="1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</row>
    <row r="952" spans="1:85" ht="13" x14ac:dyDescent="0.15">
      <c r="A952" s="1"/>
      <c r="B952" s="1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</row>
    <row r="953" spans="1:85" ht="13" x14ac:dyDescent="0.15">
      <c r="A953" s="1"/>
      <c r="B953" s="1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</row>
    <row r="954" spans="1:85" ht="13" x14ac:dyDescent="0.15">
      <c r="A954" s="1"/>
      <c r="B954" s="1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</row>
    <row r="955" spans="1:85" ht="13" x14ac:dyDescent="0.15">
      <c r="A955" s="1"/>
      <c r="B955" s="1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</row>
    <row r="956" spans="1:85" ht="13" x14ac:dyDescent="0.15">
      <c r="A956" s="1"/>
      <c r="B956" s="1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</row>
    <row r="957" spans="1:85" ht="13" x14ac:dyDescent="0.15">
      <c r="A957" s="1"/>
      <c r="B957" s="1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</row>
    <row r="958" spans="1:85" ht="13" x14ac:dyDescent="0.15">
      <c r="A958" s="1"/>
      <c r="B958" s="1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</row>
    <row r="959" spans="1:85" ht="13" x14ac:dyDescent="0.15">
      <c r="A959" s="1"/>
      <c r="B959" s="1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</row>
    <row r="960" spans="1:85" ht="13" x14ac:dyDescent="0.15">
      <c r="A960" s="1"/>
      <c r="B960" s="1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</row>
    <row r="961" spans="1:85" ht="13" x14ac:dyDescent="0.15">
      <c r="A961" s="1"/>
      <c r="B961" s="1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</row>
    <row r="962" spans="1:85" ht="13" x14ac:dyDescent="0.15">
      <c r="A962" s="1"/>
      <c r="B962" s="1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</row>
    <row r="963" spans="1:85" ht="13" x14ac:dyDescent="0.15">
      <c r="A963" s="1"/>
      <c r="B963" s="1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</row>
    <row r="964" spans="1:85" ht="13" x14ac:dyDescent="0.15">
      <c r="A964" s="1"/>
      <c r="B964" s="1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</row>
    <row r="965" spans="1:85" ht="13" x14ac:dyDescent="0.15">
      <c r="A965" s="1"/>
      <c r="B965" s="1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</row>
    <row r="966" spans="1:85" ht="13" x14ac:dyDescent="0.15">
      <c r="A966" s="1"/>
      <c r="B966" s="1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</row>
    <row r="967" spans="1:85" ht="13" x14ac:dyDescent="0.15">
      <c r="A967" s="1"/>
      <c r="B967" s="1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</row>
    <row r="968" spans="1:85" ht="13" x14ac:dyDescent="0.15">
      <c r="A968" s="1"/>
      <c r="B968" s="1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</row>
    <row r="969" spans="1:85" ht="13" x14ac:dyDescent="0.15">
      <c r="A969" s="1"/>
      <c r="B969" s="1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</row>
    <row r="970" spans="1:85" ht="13" x14ac:dyDescent="0.15">
      <c r="A970" s="1"/>
      <c r="B970" s="1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</row>
    <row r="971" spans="1:85" ht="13" x14ac:dyDescent="0.15">
      <c r="A971" s="1"/>
      <c r="B971" s="1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</row>
    <row r="972" spans="1:85" ht="13" x14ac:dyDescent="0.15">
      <c r="A972" s="1"/>
      <c r="B972" s="1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</row>
    <row r="973" spans="1:85" ht="13" x14ac:dyDescent="0.15">
      <c r="A973" s="1"/>
      <c r="B973" s="1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</row>
    <row r="974" spans="1:85" ht="13" x14ac:dyDescent="0.15">
      <c r="A974" s="1"/>
      <c r="B974" s="1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</row>
    <row r="975" spans="1:85" ht="13" x14ac:dyDescent="0.15">
      <c r="A975" s="1"/>
      <c r="B975" s="1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</row>
    <row r="976" spans="1:85" ht="13" x14ac:dyDescent="0.15">
      <c r="A976" s="1"/>
      <c r="B976" s="1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</row>
    <row r="977" spans="1:85" ht="13" x14ac:dyDescent="0.15">
      <c r="A977" s="1"/>
      <c r="B977" s="1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</row>
    <row r="978" spans="1:85" ht="13" x14ac:dyDescent="0.15">
      <c r="A978" s="1"/>
      <c r="B978" s="1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</row>
    <row r="979" spans="1:85" ht="13" x14ac:dyDescent="0.15">
      <c r="A979" s="1"/>
      <c r="B979" s="1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</row>
    <row r="980" spans="1:85" ht="13" x14ac:dyDescent="0.15">
      <c r="A980" s="1"/>
      <c r="B980" s="1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</row>
  </sheetData>
  <mergeCells count="40">
    <mergeCell ref="AG52:AP52"/>
    <mergeCell ref="AG45:AK45"/>
    <mergeCell ref="AL46:AP46"/>
    <mergeCell ref="AG49:AK49"/>
    <mergeCell ref="AB40:AF40"/>
    <mergeCell ref="AG41:AK41"/>
    <mergeCell ref="AL42:AP42"/>
    <mergeCell ref="AB44:AF44"/>
    <mergeCell ref="AG35:AK35"/>
    <mergeCell ref="AL36:AP36"/>
    <mergeCell ref="AB37:AF37"/>
    <mergeCell ref="AG38:AK38"/>
    <mergeCell ref="AL39:AP39"/>
    <mergeCell ref="K13:Z13"/>
    <mergeCell ref="Q19:U19"/>
    <mergeCell ref="Z16:AA16"/>
    <mergeCell ref="AB34:AF34"/>
    <mergeCell ref="BK9:BO9"/>
    <mergeCell ref="BP9:BT9"/>
    <mergeCell ref="AB8:AU8"/>
    <mergeCell ref="AV8:AZ9"/>
    <mergeCell ref="BA8:BT8"/>
    <mergeCell ref="H9:L9"/>
    <mergeCell ref="M9:Q9"/>
    <mergeCell ref="H8:AA8"/>
    <mergeCell ref="AG9:AK9"/>
    <mergeCell ref="AL9:AP9"/>
    <mergeCell ref="AQ9:AU9"/>
    <mergeCell ref="BA9:BE9"/>
    <mergeCell ref="BF9:BJ9"/>
    <mergeCell ref="F8:F10"/>
    <mergeCell ref="G8:G10"/>
    <mergeCell ref="R9:V9"/>
    <mergeCell ref="W9:AA9"/>
    <mergeCell ref="AB9:AF9"/>
    <mergeCell ref="A8:A10"/>
    <mergeCell ref="B8:B10"/>
    <mergeCell ref="C8:C10"/>
    <mergeCell ref="D8:D10"/>
    <mergeCell ref="E8:E10"/>
  </mergeCells>
  <phoneticPr fontId="11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Maksim Lovchev</cp:lastModifiedBy>
  <dcterms:created xsi:type="dcterms:W3CDTF">2025-08-24T15:20:06Z</dcterms:created>
  <dcterms:modified xsi:type="dcterms:W3CDTF">2025-08-24T16:21:40Z</dcterms:modified>
</cp:coreProperties>
</file>